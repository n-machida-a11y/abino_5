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Z:\全社共有\建築事業部\02_工事番号\"/>
    </mc:Choice>
  </mc:AlternateContent>
  <xr:revisionPtr revIDLastSave="0" documentId="13_ncr:1_{E68A75CA-144E-4433-B115-10DB3C41D0BB}" xr6:coauthVersionLast="47" xr6:coauthVersionMax="47" xr10:uidLastSave="{00000000-0000-0000-0000-000000000000}"/>
  <bookViews>
    <workbookView xWindow="-120" yWindow="-120" windowWidth="29040" windowHeight="15720" tabRatio="757" activeTab="2" xr2:uid="{00000000-000D-0000-FFFF-FFFF00000000}"/>
  </bookViews>
  <sheets>
    <sheet name="入力フォーム" sheetId="51" r:id="rId1"/>
    <sheet name="工事番号一覧" sheetId="63" r:id="rId2"/>
    <sheet name="請求書提出依頼書" sheetId="69" r:id="rId3"/>
    <sheet name="請求書提出依頼書【元データ】" sheetId="67" r:id="rId4"/>
    <sheet name="依頼書全社展開" sheetId="70" r:id="rId5"/>
    <sheet name="依頼履歴" sheetId="64" r:id="rId6"/>
    <sheet name="旧請求書提出依頼書" sheetId="62" r:id="rId7"/>
  </sheets>
  <functionGroups builtInGroupCount="19"/>
  <definedNames>
    <definedName name="_xlnm._FilterDatabase" localSheetId="1" hidden="1">工事番号一覧!$A$2:$X$135</definedName>
    <definedName name="PDF_工事名称">請求書提出依頼書!F9</definedName>
    <definedName name="PDF_請求宛名">請求書提出依頼書!F10</definedName>
    <definedName name="_xlnm.Print_Area" localSheetId="4">依頼書全社展開!$A$2:$AC$36</definedName>
    <definedName name="_xlnm.Print_Area" localSheetId="6">旧請求書提出依頼書!$A$1:$X$46</definedName>
    <definedName name="_xlnm.Print_Area" localSheetId="1">工事番号一覧!$A$1:$M$168</definedName>
    <definedName name="_xlnm.Print_Area" localSheetId="2">請求書提出依頼書!$A$1:$AC$36</definedName>
    <definedName name="_xlnm.Print_Area" localSheetId="3">請求書提出依頼書【元データ】!$A$1:$T$34</definedName>
    <definedName name="_xlnm.Print_Area" localSheetId="0">入力フォーム!$A$1:$G$31</definedName>
    <definedName name="Print_Area_1" localSheetId="1">工事番号一覧!$A$1:$M$17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0" i="63" l="1"/>
  <c r="K19" i="63"/>
  <c r="V25" i="69"/>
  <c r="V26" i="69" s="1"/>
  <c r="G9" i="62" l="1"/>
  <c r="S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西川 絵里</author>
  </authors>
  <commentList>
    <comment ref="A36" authorId="0" shapeId="0" xr:uid="{72AAC8CB-104E-40EB-859C-0A28F743CEAB}">
      <text>
        <r>
          <rPr>
            <sz val="9"/>
            <color indexed="81"/>
            <rFont val="MS P ゴシック"/>
            <family val="3"/>
            <charset val="128"/>
          </rPr>
          <t xml:space="preserve">管理表マスタのアドレスを入れる
</t>
        </r>
      </text>
    </comment>
  </commentList>
</comments>
</file>

<file path=xl/sharedStrings.xml><?xml version="1.0" encoding="utf-8"?>
<sst xmlns="http://schemas.openxmlformats.org/spreadsheetml/2006/main" count="2032" uniqueCount="1003">
  <si>
    <t>提出要項</t>
    <rPh sb="0" eb="2">
      <t>テイシュツ</t>
    </rPh>
    <rPh sb="2" eb="4">
      <t>ヨウコウ</t>
    </rPh>
    <phoneticPr fontId="5"/>
  </si>
  <si>
    <t>請 求 書 提 出 依 頼 書</t>
    <rPh sb="0" eb="5">
      <t>セイキュウショ</t>
    </rPh>
    <rPh sb="6" eb="9">
      <t>テイシュツ</t>
    </rPh>
    <rPh sb="10" eb="15">
      <t>イライショ</t>
    </rPh>
    <phoneticPr fontId="5"/>
  </si>
  <si>
    <t>請求書提出先</t>
    <rPh sb="0" eb="3">
      <t>セイキュウショ</t>
    </rPh>
    <rPh sb="3" eb="5">
      <t>テイシュツ</t>
    </rPh>
    <rPh sb="5" eb="6">
      <t>サキ</t>
    </rPh>
    <phoneticPr fontId="5"/>
  </si>
  <si>
    <t>提出先住所</t>
    <rPh sb="0" eb="2">
      <t>テイシュツ</t>
    </rPh>
    <rPh sb="2" eb="3">
      <t>サキ</t>
    </rPh>
    <rPh sb="3" eb="5">
      <t>ジュウショ</t>
    </rPh>
    <phoneticPr fontId="5"/>
  </si>
  <si>
    <t>〒</t>
    <phoneticPr fontId="5"/>
  </si>
  <si>
    <t>請求金額</t>
    <rPh sb="0" eb="2">
      <t>セイキュウ</t>
    </rPh>
    <rPh sb="2" eb="4">
      <t>キンガク</t>
    </rPh>
    <phoneticPr fontId="5"/>
  </si>
  <si>
    <t>工事名称</t>
    <rPh sb="0" eb="2">
      <t>コウジ</t>
    </rPh>
    <rPh sb="2" eb="4">
      <t>メイショウ</t>
    </rPh>
    <phoneticPr fontId="5"/>
  </si>
  <si>
    <t>作業現場</t>
    <rPh sb="0" eb="2">
      <t>サギョウ</t>
    </rPh>
    <rPh sb="2" eb="4">
      <t>ゲンバ</t>
    </rPh>
    <phoneticPr fontId="5"/>
  </si>
  <si>
    <t>作業依頼者</t>
    <rPh sb="0" eb="2">
      <t>サギョウ</t>
    </rPh>
    <rPh sb="2" eb="5">
      <t>イライシャ</t>
    </rPh>
    <phoneticPr fontId="5"/>
  </si>
  <si>
    <t>上記の通り請求書の提出をお願いします。</t>
    <rPh sb="0" eb="2">
      <t>ジョウキ</t>
    </rPh>
    <rPh sb="3" eb="4">
      <t>トオ</t>
    </rPh>
    <rPh sb="5" eb="8">
      <t>セイキュウショ</t>
    </rPh>
    <rPh sb="9" eb="11">
      <t>テイシュツ</t>
    </rPh>
    <rPh sb="13" eb="14">
      <t>ネガ</t>
    </rPh>
    <phoneticPr fontId="5"/>
  </si>
  <si>
    <t>提出依頼者</t>
    <rPh sb="0" eb="2">
      <t>テイシュツ</t>
    </rPh>
    <rPh sb="2" eb="5">
      <t>イライシャ</t>
    </rPh>
    <phoneticPr fontId="5"/>
  </si>
  <si>
    <t>氏　名</t>
    <rPh sb="0" eb="3">
      <t>シメイ</t>
    </rPh>
    <phoneticPr fontId="5"/>
  </si>
  <si>
    <t>.―　</t>
    <phoneticPr fontId="5"/>
  </si>
  <si>
    <t>（</t>
    <phoneticPr fontId="28"/>
  </si>
  <si>
    <t>内消費税</t>
    <rPh sb="0" eb="1">
      <t>ウチ</t>
    </rPh>
    <rPh sb="1" eb="4">
      <t>ショウヒゼイ</t>
    </rPh>
    <phoneticPr fontId="28"/>
  </si>
  <si>
    <t>.―　　）</t>
    <phoneticPr fontId="5"/>
  </si>
  <si>
    <t>同封物</t>
    <rPh sb="0" eb="3">
      <t>ドウフウブツ</t>
    </rPh>
    <phoneticPr fontId="5"/>
  </si>
  <si>
    <t>仕　　　様</t>
    <rPh sb="0" eb="1">
      <t>シ</t>
    </rPh>
    <rPh sb="4" eb="5">
      <t>サマ</t>
    </rPh>
    <phoneticPr fontId="5"/>
  </si>
  <si>
    <t>名称</t>
    <rPh sb="0" eb="2">
      <t>メイショウ</t>
    </rPh>
    <phoneticPr fontId="5"/>
  </si>
  <si>
    <t>単位</t>
    <rPh sb="0" eb="2">
      <t>タンイ</t>
    </rPh>
    <phoneticPr fontId="5"/>
  </si>
  <si>
    <t>式</t>
    <rPh sb="0" eb="1">
      <t>シキ</t>
    </rPh>
    <phoneticPr fontId="5"/>
  </si>
  <si>
    <t>小　計</t>
    <rPh sb="0" eb="1">
      <t>ショウ</t>
    </rPh>
    <rPh sb="2" eb="3">
      <t>ケイ</t>
    </rPh>
    <phoneticPr fontId="5"/>
  </si>
  <si>
    <t>消費税</t>
    <rPh sb="0" eb="3">
      <t>ショウヒゼイ</t>
    </rPh>
    <phoneticPr fontId="5"/>
  </si>
  <si>
    <t>← ← ←</t>
  </si>
  <si>
    <t>← ← ←</t>
    <phoneticPr fontId="5"/>
  </si>
  <si>
    <t>引継ぎコメント</t>
    <rPh sb="0" eb="2">
      <t>ヒキツ</t>
    </rPh>
    <phoneticPr fontId="28"/>
  </si>
  <si>
    <t>建築事業部</t>
  </si>
  <si>
    <t>年度</t>
  </si>
  <si>
    <t>NO</t>
  </si>
  <si>
    <t>1:担当者</t>
  </si>
  <si>
    <t>2:工事番号</t>
  </si>
  <si>
    <t>3:工事名称</t>
  </si>
  <si>
    <t>5:発注者</t>
  </si>
  <si>
    <t>6:工期　着手</t>
  </si>
  <si>
    <t>7:工期　完成</t>
  </si>
  <si>
    <t>8:契約書</t>
  </si>
  <si>
    <t>9:契約日</t>
  </si>
  <si>
    <t>10:請負金額</t>
  </si>
  <si>
    <t>11:アンケート
1000万円
以上送付</t>
  </si>
  <si>
    <t>12:コメント</t>
  </si>
  <si>
    <t>13:請求日
※依頼書作成日</t>
    <rPh sb="3" eb="5">
      <t>セイキュウ</t>
    </rPh>
    <rPh sb="5" eb="6">
      <t>ビ</t>
    </rPh>
    <rPh sb="8" eb="11">
      <t>イライショ</t>
    </rPh>
    <rPh sb="11" eb="14">
      <t>サクセイビ</t>
    </rPh>
    <phoneticPr fontId="5"/>
  </si>
  <si>
    <t>14:提出要項</t>
    <phoneticPr fontId="28"/>
  </si>
  <si>
    <t>15:同封物</t>
    <phoneticPr fontId="28"/>
  </si>
  <si>
    <t>16:提出日付</t>
    <phoneticPr fontId="28"/>
  </si>
  <si>
    <t>17:引渡日
(※工事完了日)</t>
    <phoneticPr fontId="28"/>
  </si>
  <si>
    <t>18:請求書提出先</t>
    <phoneticPr fontId="28"/>
  </si>
  <si>
    <t>19:郵便番号</t>
    <phoneticPr fontId="28"/>
  </si>
  <si>
    <t>20:提出先住所</t>
    <phoneticPr fontId="28"/>
  </si>
  <si>
    <t>21:作業現場</t>
    <phoneticPr fontId="28"/>
  </si>
  <si>
    <t>22:作業依頼者</t>
    <phoneticPr fontId="28"/>
  </si>
  <si>
    <t>12:担当者引継ぎコメント</t>
    <rPh sb="3" eb="6">
      <t>タントウシャ</t>
    </rPh>
    <rPh sb="6" eb="8">
      <t>ヒキツ</t>
    </rPh>
    <phoneticPr fontId="28"/>
  </si>
  <si>
    <t>改訂2025.8</t>
    <phoneticPr fontId="5"/>
  </si>
  <si>
    <t>製造部 水野係長</t>
  </si>
  <si>
    <t>郵送普通</t>
  </si>
  <si>
    <t>無し</t>
  </si>
  <si>
    <t>髙見淳也</t>
  </si>
  <si>
    <t>―</t>
  </si>
  <si>
    <t>NSハイパーツ/日鉄ﾃｯｸｽｴﾝｼﾞ㈱</t>
  </si>
  <si>
    <t>なし</t>
  </si>
  <si>
    <t>玉山成賛</t>
  </si>
  <si>
    <t>ー</t>
  </si>
  <si>
    <t>持参</t>
  </si>
  <si>
    <t>姫路市広畑区吾妻町3丁目ライフガーデン吾妻壱番館515号室</t>
  </si>
  <si>
    <t>ライフガーデン吾妻壱番館515号室</t>
  </si>
  <si>
    <t>井川貴裕</t>
  </si>
  <si>
    <t>赤穂市</t>
  </si>
  <si>
    <t>676-0008</t>
  </si>
  <si>
    <t>保原詠史</t>
  </si>
  <si>
    <t>柴田裕一朗</t>
  </si>
  <si>
    <t>670-0221</t>
  </si>
  <si>
    <t>03-2509-002</t>
  </si>
  <si>
    <t>03-2509-003</t>
  </si>
  <si>
    <t>石川病院</t>
  </si>
  <si>
    <t>㈱ニッケ・ケアサービス</t>
  </si>
  <si>
    <t>ニッケあすも加古川220号室水田泰子様</t>
  </si>
  <si>
    <t>日鉄テックスエンジ㈱山口調達部</t>
  </si>
  <si>
    <t>◯</t>
  </si>
  <si>
    <t>常総開発工業株式会社</t>
  </si>
  <si>
    <t>314-0134</t>
  </si>
  <si>
    <t>株式会社三友鋼機大阪営業所</t>
  </si>
  <si>
    <t>03-2503-005</t>
  </si>
  <si>
    <t>㈱ガイヤ　代表取締役　岩本涼</t>
  </si>
  <si>
    <t>森工務店㈱</t>
  </si>
  <si>
    <t>03-2523-002</t>
  </si>
  <si>
    <t>金額変更あり</t>
  </si>
  <si>
    <t>03-2516-001</t>
  </si>
  <si>
    <t>(株)エーモン</t>
  </si>
  <si>
    <t>03-2512-002</t>
  </si>
  <si>
    <t>見積書</t>
  </si>
  <si>
    <t>姫路市大津区大津町1-31-109</t>
  </si>
  <si>
    <t>03-2503-008</t>
  </si>
  <si>
    <t>03-2513-008</t>
  </si>
  <si>
    <t>03-2513-009</t>
  </si>
  <si>
    <t>福永将士</t>
  </si>
  <si>
    <t>㈱IHI　</t>
  </si>
  <si>
    <t>03-2513-004</t>
  </si>
  <si>
    <t>ニッケあすも　クロス補修工事</t>
  </si>
  <si>
    <t>領収書</t>
  </si>
  <si>
    <t>㈱ニッケ・ケアサービス　ニッケあすも加古川</t>
  </si>
  <si>
    <t>675-0037</t>
  </si>
  <si>
    <t>加古川市加古川町本町239-1</t>
  </si>
  <si>
    <t>ニッケあすも内</t>
  </si>
  <si>
    <t>03-2513-005</t>
  </si>
  <si>
    <t>ニッケあすも220号室　補修工事</t>
  </si>
  <si>
    <t>03-2513-006</t>
  </si>
  <si>
    <t>ニッケあすも217号室補修工事</t>
  </si>
  <si>
    <t>ニッケあすも加古川217号室　酒井節男様</t>
  </si>
  <si>
    <t>03-2513-007</t>
  </si>
  <si>
    <t>ニッケあすも207号室　補修工事</t>
  </si>
  <si>
    <t>ニッケあすも加古川207号室　原哲哉様</t>
  </si>
  <si>
    <t>ニッケあすも加古川　207号室　原　哲哉</t>
  </si>
  <si>
    <t>ニッケあすも加古川　207号室　原哲哉</t>
  </si>
  <si>
    <t xml:space="preserve">_x000D_
</t>
  </si>
  <si>
    <t>03-2513-010</t>
  </si>
  <si>
    <t>医療法人　尚生会　加茂病院</t>
  </si>
  <si>
    <t>679-0205</t>
  </si>
  <si>
    <t>加東市北野713</t>
  </si>
  <si>
    <t>加茂病院本館</t>
  </si>
  <si>
    <t>Z:\全社共有\建築事業部\00_現場関連\管理者用\工事番号管理表.xlsm</t>
    <phoneticPr fontId="5"/>
  </si>
  <si>
    <t>moon hair・moon fur店舗新築工事</t>
  </si>
  <si>
    <t>梅津眼科　遮熱フィルム貼</t>
  </si>
  <si>
    <t>梅津先生</t>
  </si>
  <si>
    <t>03-2514-003</t>
  </si>
  <si>
    <t>03-2514-004</t>
  </si>
  <si>
    <t>梅津眼科　2F廊下カーテンレール・カーテン取付</t>
  </si>
  <si>
    <t>03-2512-003</t>
  </si>
  <si>
    <t>青山保育園　ウッドデッキ補修工事</t>
  </si>
  <si>
    <t>青山保育園</t>
  </si>
  <si>
    <t>姫路市青山西5丁目8-52</t>
  </si>
  <si>
    <t>川尻先生</t>
  </si>
  <si>
    <t>671-2224</t>
  </si>
  <si>
    <t>03-2510-005</t>
  </si>
  <si>
    <t>髙見淳也</t>
    <phoneticPr fontId="5"/>
  </si>
  <si>
    <t>03-2303-012</t>
    <phoneticPr fontId="5"/>
  </si>
  <si>
    <t>日鉄ﾃｯｸｽｴﾝｼﾞ㈱</t>
    <rPh sb="0" eb="2">
      <t>ニッテツ</t>
    </rPh>
    <phoneticPr fontId="6"/>
  </si>
  <si>
    <t>03-2303-014</t>
    <phoneticPr fontId="5"/>
  </si>
  <si>
    <t>小林電工㈱新社屋新築工事</t>
    <rPh sb="0" eb="2">
      <t>コバヤシ</t>
    </rPh>
    <rPh sb="2" eb="4">
      <t>デンコウ</t>
    </rPh>
    <rPh sb="5" eb="8">
      <t>シンシャオク</t>
    </rPh>
    <rPh sb="8" eb="12">
      <t>シンチクコウジ</t>
    </rPh>
    <phoneticPr fontId="5"/>
  </si>
  <si>
    <t>小林電工㈱</t>
    <phoneticPr fontId="5"/>
  </si>
  <si>
    <t>03-2303-016</t>
    <phoneticPr fontId="5"/>
  </si>
  <si>
    <t>岡上運輸㈱合金鉄C号倉庫　新築工事　</t>
    <phoneticPr fontId="5"/>
  </si>
  <si>
    <t>岡上運輸㈱</t>
    <phoneticPr fontId="5"/>
  </si>
  <si>
    <t>岡上運輸㈱合金鉄C号倉庫　分界点以降：1次側電源工事　</t>
    <phoneticPr fontId="5"/>
  </si>
  <si>
    <t>03-2403-007</t>
    <phoneticPr fontId="5"/>
  </si>
  <si>
    <t>平岡設計</t>
    <rPh sb="0" eb="2">
      <t>ヒラオカ</t>
    </rPh>
    <rPh sb="2" eb="4">
      <t>セッケイ</t>
    </rPh>
    <phoneticPr fontId="5"/>
  </si>
  <si>
    <t>03-2403-008</t>
    <phoneticPr fontId="5"/>
  </si>
  <si>
    <t>株式会社イーシステム　代取締役　谷山　暁進</t>
    <phoneticPr fontId="5"/>
  </si>
  <si>
    <t>03-2403-013</t>
    <phoneticPr fontId="5"/>
  </si>
  <si>
    <t>日本生命　兵庫小野オフィス新築工事</t>
    <phoneticPr fontId="5"/>
  </si>
  <si>
    <t>㈱藤木工務店</t>
    <rPh sb="1" eb="3">
      <t>フジキ</t>
    </rPh>
    <rPh sb="3" eb="6">
      <t>コウムテン</t>
    </rPh>
    <phoneticPr fontId="5"/>
  </si>
  <si>
    <t>03-2403-014</t>
    <phoneticPr fontId="5"/>
  </si>
  <si>
    <t>大一倉庫　外壁改修工事</t>
    <rPh sb="0" eb="2">
      <t>ダイイチ</t>
    </rPh>
    <rPh sb="2" eb="4">
      <t>ソウコ</t>
    </rPh>
    <rPh sb="5" eb="7">
      <t>ガイヘキ</t>
    </rPh>
    <rPh sb="7" eb="9">
      <t>カイシュウ</t>
    </rPh>
    <rPh sb="9" eb="11">
      <t>コウジ</t>
    </rPh>
    <phoneticPr fontId="5"/>
  </si>
  <si>
    <t>大一倉庫㈱</t>
    <phoneticPr fontId="39"/>
  </si>
  <si>
    <t>03-2403-015</t>
    <phoneticPr fontId="5"/>
  </si>
  <si>
    <t>日鉄物流㈱ （仮称）王子原社宅　Ⅲ新築工事</t>
    <phoneticPr fontId="5"/>
  </si>
  <si>
    <t>NSハイパーツ/日鉄ﾃｯｸｽｴﾝｼﾞ㈱</t>
    <phoneticPr fontId="5"/>
  </si>
  <si>
    <t>03-2403-016</t>
    <phoneticPr fontId="5"/>
  </si>
  <si>
    <t>ムツミ商事㈱ 飾磨支店　新社屋新築工事</t>
    <phoneticPr fontId="39"/>
  </si>
  <si>
    <t>ムツミ商事㈱</t>
    <phoneticPr fontId="39"/>
  </si>
  <si>
    <t>03-2403-017</t>
    <phoneticPr fontId="5"/>
  </si>
  <si>
    <t>日鉄物流㈱ （仮称）王子原社宅　Ⅱ新築工事</t>
    <phoneticPr fontId="5"/>
  </si>
  <si>
    <t>―</t>
    <phoneticPr fontId="5"/>
  </si>
  <si>
    <t>03-2403-018</t>
    <phoneticPr fontId="5"/>
  </si>
  <si>
    <t>阿比野建設　広畑構内事務所新築工事</t>
    <phoneticPr fontId="5"/>
  </si>
  <si>
    <t>自社</t>
    <rPh sb="0" eb="2">
      <t>ジシャ</t>
    </rPh>
    <phoneticPr fontId="5"/>
  </si>
  <si>
    <t>03-2403-019</t>
    <phoneticPr fontId="5"/>
  </si>
  <si>
    <t>日本生命　滋賀彦根オフィス新築工事（設計費）</t>
    <phoneticPr fontId="5"/>
  </si>
  <si>
    <t>白井栄司</t>
    <phoneticPr fontId="5"/>
  </si>
  <si>
    <t>03-2410-008</t>
    <phoneticPr fontId="5"/>
  </si>
  <si>
    <t>クレーネサンヨウ浴室改修工事</t>
    <phoneticPr fontId="5"/>
  </si>
  <si>
    <t>山陽特殊製鋼㈱</t>
    <phoneticPr fontId="39"/>
  </si>
  <si>
    <t>03-2412-004</t>
    <phoneticPr fontId="5"/>
  </si>
  <si>
    <t>姫路市立御国野小学校外1校屋内運動場空調設備設置工事</t>
    <phoneticPr fontId="5"/>
  </si>
  <si>
    <t>03-2501-110</t>
    <phoneticPr fontId="5"/>
  </si>
  <si>
    <t>ライフガーデン吾妻壱番館515号室UB取替工事</t>
    <rPh sb="7" eb="9">
      <t>アズマ</t>
    </rPh>
    <rPh sb="9" eb="10">
      <t>イツ</t>
    </rPh>
    <rPh sb="10" eb="12">
      <t>バンカン</t>
    </rPh>
    <rPh sb="15" eb="17">
      <t>ゴウシツ</t>
    </rPh>
    <rPh sb="19" eb="21">
      <t>トリカエ</t>
    </rPh>
    <rPh sb="21" eb="23">
      <t>コウジ</t>
    </rPh>
    <phoneticPr fontId="5"/>
  </si>
  <si>
    <t>03-2503-001</t>
    <phoneticPr fontId="5"/>
  </si>
  <si>
    <t>日鉄建材㈱姫路製造所　浄化槽更新工事（新設工事・解体工事）</t>
    <rPh sb="19" eb="21">
      <t>シンセツ</t>
    </rPh>
    <rPh sb="21" eb="23">
      <t>コウジ</t>
    </rPh>
    <rPh sb="24" eb="26">
      <t>カイタイ</t>
    </rPh>
    <rPh sb="26" eb="28">
      <t>コウジ</t>
    </rPh>
    <phoneticPr fontId="5"/>
  </si>
  <si>
    <t>日鉄建材㈱</t>
    <rPh sb="0" eb="2">
      <t>ニッテツ</t>
    </rPh>
    <rPh sb="2" eb="4">
      <t>ケンザイ</t>
    </rPh>
    <phoneticPr fontId="5"/>
  </si>
  <si>
    <t>03-2503-002</t>
    <phoneticPr fontId="5"/>
  </si>
  <si>
    <t>03-2503-003</t>
    <phoneticPr fontId="5"/>
  </si>
  <si>
    <t>京都府看護学校整備事業 学生寮建設工事</t>
    <phoneticPr fontId="5"/>
  </si>
  <si>
    <t>金下建設㈱</t>
    <rPh sb="0" eb="2">
      <t>カネシタ</t>
    </rPh>
    <rPh sb="2" eb="4">
      <t>ケンセツ</t>
    </rPh>
    <phoneticPr fontId="5"/>
  </si>
  <si>
    <t>猪澤和喜</t>
    <phoneticPr fontId="5"/>
  </si>
  <si>
    <t>03-2508-001</t>
    <phoneticPr fontId="5"/>
  </si>
  <si>
    <t>(仮称)春日倉庫第2物流センター 新築工事</t>
    <phoneticPr fontId="5"/>
  </si>
  <si>
    <t>春日倉庫㈱代表取締役社長　朝井嘉行</t>
    <rPh sb="0" eb="4">
      <t>カスガソウコ</t>
    </rPh>
    <rPh sb="5" eb="10">
      <t>ダイヒョウトリシマリヤク</t>
    </rPh>
    <rPh sb="10" eb="12">
      <t>シャチョウ</t>
    </rPh>
    <rPh sb="13" eb="15">
      <t>アサイ</t>
    </rPh>
    <rPh sb="15" eb="16">
      <t>ヨシ</t>
    </rPh>
    <rPh sb="16" eb="17">
      <t>ユキ</t>
    </rPh>
    <phoneticPr fontId="39"/>
  </si>
  <si>
    <t>03-2508-002</t>
    <phoneticPr fontId="5"/>
  </si>
  <si>
    <t>(仮称)アリノベ本社工場新築工事</t>
    <phoneticPr fontId="5"/>
  </si>
  <si>
    <t>㈲アリノベ 代表取締役 有延 秀棋</t>
    <rPh sb="6" eb="11">
      <t>ダイヒョウトリシマリヤク</t>
    </rPh>
    <rPh sb="12" eb="14">
      <t>アリノベ</t>
    </rPh>
    <rPh sb="15" eb="16">
      <t>シュウ</t>
    </rPh>
    <rPh sb="16" eb="17">
      <t>キ</t>
    </rPh>
    <phoneticPr fontId="39"/>
  </si>
  <si>
    <t>03-2510-001</t>
    <phoneticPr fontId="5"/>
  </si>
  <si>
    <t>兵庫縣姫路護國神社休憩所新築その他工事</t>
    <rPh sb="3" eb="5">
      <t>ヒメジ</t>
    </rPh>
    <rPh sb="5" eb="6">
      <t>マモル</t>
    </rPh>
    <rPh sb="6" eb="7">
      <t>コク</t>
    </rPh>
    <rPh sb="7" eb="9">
      <t>ジンジャ</t>
    </rPh>
    <rPh sb="9" eb="11">
      <t>キュウケイ</t>
    </rPh>
    <rPh sb="11" eb="12">
      <t>ショ</t>
    </rPh>
    <rPh sb="12" eb="14">
      <t>シンチク</t>
    </rPh>
    <rPh sb="16" eb="17">
      <t>タ</t>
    </rPh>
    <rPh sb="17" eb="19">
      <t>コウジ</t>
    </rPh>
    <phoneticPr fontId="5"/>
  </si>
  <si>
    <t>姫路護國神社</t>
    <phoneticPr fontId="5"/>
  </si>
  <si>
    <t>03-2510-002</t>
    <phoneticPr fontId="5"/>
  </si>
  <si>
    <t>東芝エレベータ㈱</t>
    <phoneticPr fontId="5"/>
  </si>
  <si>
    <t>03-2510-003</t>
    <phoneticPr fontId="5"/>
  </si>
  <si>
    <t>ライフガーデン吾妻壱番館515号室トイレ改修他工事</t>
    <rPh sb="20" eb="22">
      <t>カイシュウ</t>
    </rPh>
    <rPh sb="22" eb="23">
      <t>ホカ</t>
    </rPh>
    <rPh sb="23" eb="25">
      <t>コウジ</t>
    </rPh>
    <phoneticPr fontId="5"/>
  </si>
  <si>
    <t>玉山成賛</t>
    <phoneticPr fontId="39"/>
  </si>
  <si>
    <t>畑田洋樹</t>
    <phoneticPr fontId="5"/>
  </si>
  <si>
    <t>03-2512-001</t>
    <phoneticPr fontId="5"/>
  </si>
  <si>
    <t>医療法人社団　健樹会　ささき整形外科クリニック点字タイル補修工事</t>
    <rPh sb="0" eb="2">
      <t>イリョウ</t>
    </rPh>
    <rPh sb="2" eb="4">
      <t>ホウジン</t>
    </rPh>
    <rPh sb="4" eb="6">
      <t>シャダン</t>
    </rPh>
    <rPh sb="7" eb="8">
      <t>ケン</t>
    </rPh>
    <rPh sb="8" eb="9">
      <t>ジュ</t>
    </rPh>
    <rPh sb="9" eb="10">
      <t>カイ</t>
    </rPh>
    <rPh sb="14" eb="18">
      <t>セイケイゲカ</t>
    </rPh>
    <rPh sb="23" eb="25">
      <t>テンジ</t>
    </rPh>
    <rPh sb="28" eb="30">
      <t>ホシュウ</t>
    </rPh>
    <rPh sb="30" eb="32">
      <t>コウジ</t>
    </rPh>
    <phoneticPr fontId="5"/>
  </si>
  <si>
    <t>医療法人社団　健樹会　院長先生</t>
    <rPh sb="11" eb="15">
      <t>インチョウセンセイ</t>
    </rPh>
    <phoneticPr fontId="5"/>
  </si>
  <si>
    <t>福永将士</t>
    <phoneticPr fontId="39"/>
  </si>
  <si>
    <t>03-2513-001</t>
    <phoneticPr fontId="5"/>
  </si>
  <si>
    <t>(仮称)岡崎整形外科 新築工事</t>
    <phoneticPr fontId="5"/>
  </si>
  <si>
    <t>岡崎史郎</t>
    <rPh sb="0" eb="2">
      <t>オカザキ</t>
    </rPh>
    <rPh sb="2" eb="4">
      <t>シロウ</t>
    </rPh>
    <phoneticPr fontId="39"/>
  </si>
  <si>
    <t>03-2513-002</t>
    <phoneticPr fontId="5"/>
  </si>
  <si>
    <t>㈱IHI 桜ヶ丘7棟1階事務所改装工事</t>
    <rPh sb="5" eb="8">
      <t>サクラガオカ</t>
    </rPh>
    <rPh sb="9" eb="10">
      <t>トウ</t>
    </rPh>
    <rPh sb="11" eb="12">
      <t>カイ</t>
    </rPh>
    <rPh sb="12" eb="15">
      <t>ジムショ</t>
    </rPh>
    <rPh sb="15" eb="17">
      <t>カイソウ</t>
    </rPh>
    <rPh sb="17" eb="19">
      <t>コウジ</t>
    </rPh>
    <phoneticPr fontId="5"/>
  </si>
  <si>
    <t>㈱IHI　</t>
    <phoneticPr fontId="5"/>
  </si>
  <si>
    <t>03-2513-003</t>
    <phoneticPr fontId="5"/>
  </si>
  <si>
    <t>㈱IHI　相総事務所建屋安全対策および撤去工事</t>
    <rPh sb="5" eb="6">
      <t>ソウ</t>
    </rPh>
    <rPh sb="6" eb="7">
      <t>ソウ</t>
    </rPh>
    <rPh sb="7" eb="10">
      <t>ジムショ</t>
    </rPh>
    <rPh sb="10" eb="12">
      <t>タテヤ</t>
    </rPh>
    <rPh sb="12" eb="14">
      <t>アンゼン</t>
    </rPh>
    <rPh sb="14" eb="16">
      <t>タイサク</t>
    </rPh>
    <rPh sb="19" eb="21">
      <t>テッキョ</t>
    </rPh>
    <rPh sb="21" eb="23">
      <t>コウジ</t>
    </rPh>
    <phoneticPr fontId="5"/>
  </si>
  <si>
    <t>井川貴裕</t>
    <phoneticPr fontId="5"/>
  </si>
  <si>
    <t>03-2515-001</t>
    <phoneticPr fontId="5"/>
  </si>
  <si>
    <t>赤穂市 新学校給食センター新築工事【2025.6.1以降】</t>
    <rPh sb="26" eb="28">
      <t>イコウ</t>
    </rPh>
    <phoneticPr fontId="5"/>
  </si>
  <si>
    <t>森崎組JV（請負総2,023,030,000）</t>
    <phoneticPr fontId="5"/>
  </si>
  <si>
    <t>近藤正和</t>
    <phoneticPr fontId="5"/>
  </si>
  <si>
    <t>03-2523-001</t>
    <phoneticPr fontId="5"/>
  </si>
  <si>
    <t>キングフーズ㈱擁壁補修工事</t>
    <rPh sb="7" eb="9">
      <t>ヨウヘキ</t>
    </rPh>
    <rPh sb="9" eb="11">
      <t>ホシュウ</t>
    </rPh>
    <rPh sb="11" eb="13">
      <t>コウジ</t>
    </rPh>
    <phoneticPr fontId="5"/>
  </si>
  <si>
    <t>キングフーズ㈱</t>
    <phoneticPr fontId="5"/>
  </si>
  <si>
    <t>04-2413-028</t>
    <phoneticPr fontId="5"/>
  </si>
  <si>
    <t>㈱IHI　しおどめ倉庫・工水製造装置撤去工事</t>
    <rPh sb="9" eb="11">
      <t>ソウコ</t>
    </rPh>
    <rPh sb="12" eb="13">
      <t>コウ</t>
    </rPh>
    <rPh sb="13" eb="14">
      <t>スイ</t>
    </rPh>
    <rPh sb="14" eb="16">
      <t>セイゾウ</t>
    </rPh>
    <rPh sb="16" eb="18">
      <t>ソウチ</t>
    </rPh>
    <rPh sb="18" eb="22">
      <t>テッキョコウジ</t>
    </rPh>
    <phoneticPr fontId="5"/>
  </si>
  <si>
    <t>福永将士</t>
    <phoneticPr fontId="5"/>
  </si>
  <si>
    <t>04-2413-033</t>
    <phoneticPr fontId="5"/>
  </si>
  <si>
    <t>㈱IHI　ＩＡ開発試験場法面整備工事</t>
    <phoneticPr fontId="5"/>
  </si>
  <si>
    <t>04-2414-011</t>
    <phoneticPr fontId="5"/>
  </si>
  <si>
    <t>03-2514-001</t>
    <phoneticPr fontId="39"/>
  </si>
  <si>
    <t>オルカ・サンヨウ宅配BOX前 防犯カメラ設置工事</t>
    <phoneticPr fontId="39"/>
  </si>
  <si>
    <t>03-2514-002</t>
    <phoneticPr fontId="39"/>
  </si>
  <si>
    <t>オルカ・サンヨウ、クレーネサンヨウ グレーチング設置工事</t>
    <phoneticPr fontId="39"/>
  </si>
  <si>
    <t>柴田裕一朗</t>
    <phoneticPr fontId="39"/>
  </si>
  <si>
    <t>03-2509-001</t>
    <phoneticPr fontId="39"/>
  </si>
  <si>
    <t>カノープス姫路浴室建具ATゴム調整</t>
    <rPh sb="5" eb="7">
      <t>ヒメジ</t>
    </rPh>
    <rPh sb="7" eb="9">
      <t>ヨクシツ</t>
    </rPh>
    <rPh sb="9" eb="11">
      <t>タテグ</t>
    </rPh>
    <rPh sb="15" eb="17">
      <t>チョウセイ</t>
    </rPh>
    <phoneticPr fontId="39"/>
  </si>
  <si>
    <t>カノープス姫路</t>
    <rPh sb="5" eb="7">
      <t>ヒメジ</t>
    </rPh>
    <phoneticPr fontId="39"/>
  </si>
  <si>
    <t>やぐら保育園分園　レバーハンドル修繕</t>
    <rPh sb="3" eb="6">
      <t>ホイクエン</t>
    </rPh>
    <rPh sb="6" eb="8">
      <t>ブンエン</t>
    </rPh>
    <rPh sb="16" eb="18">
      <t>シュウゼン</t>
    </rPh>
    <phoneticPr fontId="39"/>
  </si>
  <si>
    <t>やぐら保育園</t>
    <phoneticPr fontId="39"/>
  </si>
  <si>
    <t>石川病院新館6階　東側　出口漏水に伴う内部修繕</t>
    <rPh sb="4" eb="6">
      <t>シンカン</t>
    </rPh>
    <rPh sb="7" eb="8">
      <t>カイ</t>
    </rPh>
    <rPh sb="9" eb="11">
      <t>ヒガシガワ</t>
    </rPh>
    <rPh sb="12" eb="14">
      <t>デグチ</t>
    </rPh>
    <rPh sb="14" eb="16">
      <t>ロウスイ</t>
    </rPh>
    <rPh sb="17" eb="18">
      <t>トモナ</t>
    </rPh>
    <rPh sb="19" eb="21">
      <t>ナイブ</t>
    </rPh>
    <rPh sb="21" eb="23">
      <t>シュウゼン</t>
    </rPh>
    <phoneticPr fontId="39"/>
  </si>
  <si>
    <t>髙見淳也</t>
    <phoneticPr fontId="39"/>
  </si>
  <si>
    <t>新南陽駅事務所外新築工事</t>
    <phoneticPr fontId="39"/>
  </si>
  <si>
    <t>白井栄司</t>
    <phoneticPr fontId="39"/>
  </si>
  <si>
    <t>03-2510-004</t>
    <phoneticPr fontId="39"/>
  </si>
  <si>
    <t>㈱三友鋼機　屋根修繕工事</t>
    <phoneticPr fontId="39"/>
  </si>
  <si>
    <t>常総開発工業㈱</t>
    <phoneticPr fontId="39"/>
  </si>
  <si>
    <t>ー</t>
    <phoneticPr fontId="39"/>
  </si>
  <si>
    <t>スチールパネル姫路工場 事務所改修工事</t>
    <phoneticPr fontId="39"/>
  </si>
  <si>
    <t>阿比野建設㈱</t>
    <rPh sb="0" eb="1">
      <t>ア</t>
    </rPh>
    <rPh sb="1" eb="2">
      <t>ヒ</t>
    </rPh>
    <rPh sb="2" eb="3">
      <t>ノ</t>
    </rPh>
    <rPh sb="3" eb="5">
      <t>ケンセツ</t>
    </rPh>
    <phoneticPr fontId="39"/>
  </si>
  <si>
    <t>㈱エーモン加古川倉庫改修工事</t>
    <phoneticPr fontId="39"/>
  </si>
  <si>
    <t>畑田洋樹</t>
    <phoneticPr fontId="39"/>
  </si>
  <si>
    <t>2階待合室　ガラス入替工事</t>
    <phoneticPr fontId="39"/>
  </si>
  <si>
    <t>オアシスデンタルオフィス</t>
    <phoneticPr fontId="39"/>
  </si>
  <si>
    <t>姫路市姫路東消防団 谷内分団詰所改築工事</t>
    <phoneticPr fontId="39"/>
  </si>
  <si>
    <t>㈱福岡建設</t>
    <phoneticPr fontId="39"/>
  </si>
  <si>
    <t>㈱IHI 中央ハウス・旧診療所解体及び残置建物補強工事</t>
    <phoneticPr fontId="39"/>
  </si>
  <si>
    <t>㈱IHI　技建相生　廣田憲治</t>
    <phoneticPr fontId="39"/>
  </si>
  <si>
    <t>◯</t>
    <phoneticPr fontId="39"/>
  </si>
  <si>
    <t>加茂病院　錠前修理工事</t>
    <phoneticPr fontId="39"/>
  </si>
  <si>
    <t>加茂病院</t>
    <phoneticPr fontId="39"/>
  </si>
  <si>
    <t xml:space="preserve">_x000D_
</t>
    <phoneticPr fontId="39"/>
  </si>
  <si>
    <t>保原詠史</t>
    <phoneticPr fontId="39"/>
  </si>
  <si>
    <t>姫路市立書写中学校外1校屋内運動場空調設備設置工事</t>
    <phoneticPr fontId="39"/>
  </si>
  <si>
    <t>金額は決定次第連絡あり</t>
    <phoneticPr fontId="39"/>
  </si>
  <si>
    <t>郵送至急</t>
    <phoneticPr fontId="39"/>
  </si>
  <si>
    <t>なし</t>
    <phoneticPr fontId="39"/>
  </si>
  <si>
    <t>NSハイパーツ株式会社　鈴村様</t>
    <phoneticPr fontId="39"/>
  </si>
  <si>
    <t>509-0429</t>
    <phoneticPr fontId="39"/>
  </si>
  <si>
    <t>岐阜県可児市姫ヶ丘丁目35</t>
    <phoneticPr fontId="39"/>
  </si>
  <si>
    <t>阿比野建設　姫路パネル工場</t>
    <phoneticPr fontId="39"/>
  </si>
  <si>
    <t>NSハイパーツ株式会社　</t>
    <phoneticPr fontId="39"/>
  </si>
  <si>
    <t>郵送普通</t>
    <phoneticPr fontId="39"/>
  </si>
  <si>
    <t>兵庫縣姫路護國神社　宮司　泉　和慶</t>
    <phoneticPr fontId="39"/>
  </si>
  <si>
    <t>670-0012</t>
    <phoneticPr fontId="39"/>
  </si>
  <si>
    <t>姫路市本町118</t>
    <phoneticPr fontId="39"/>
  </si>
  <si>
    <t>671-1154</t>
    <phoneticPr fontId="39"/>
  </si>
  <si>
    <t>医療法人社団　健樹会　ささき整形外科クリニック</t>
    <phoneticPr fontId="39"/>
  </si>
  <si>
    <t>671-1523</t>
    <phoneticPr fontId="39"/>
  </si>
  <si>
    <t>兵庫県揖保郡太子町東南345</t>
    <phoneticPr fontId="39"/>
  </si>
  <si>
    <t>揖保郡太子町東南345</t>
    <phoneticPr fontId="39"/>
  </si>
  <si>
    <t>院長先生</t>
    <phoneticPr fontId="39"/>
  </si>
  <si>
    <t>キングフーズ 株式会社  管理部 川内様</t>
    <phoneticPr fontId="39"/>
  </si>
  <si>
    <t>兵庫県高砂市荒井町新浜2-12-1</t>
    <phoneticPr fontId="39"/>
  </si>
  <si>
    <t>ｷﾝｸﾞﾌｰｽﾞ 株式会社</t>
    <phoneticPr fontId="39"/>
  </si>
  <si>
    <t>老人保健施設カノープス姫路</t>
    <rPh sb="0" eb="2">
      <t>ロウジン</t>
    </rPh>
    <rPh sb="2" eb="4">
      <t>ホケン</t>
    </rPh>
    <rPh sb="4" eb="6">
      <t>シセツ</t>
    </rPh>
    <rPh sb="11" eb="13">
      <t>ヒメジ</t>
    </rPh>
    <phoneticPr fontId="39"/>
  </si>
  <si>
    <t>姫路市別所町別所960-1</t>
    <rPh sb="3" eb="6">
      <t>ベッショチョウ</t>
    </rPh>
    <rPh sb="6" eb="8">
      <t>ベッショ</t>
    </rPh>
    <phoneticPr fontId="39"/>
  </si>
  <si>
    <t>宇野</t>
    <rPh sb="0" eb="2">
      <t>ウノ</t>
    </rPh>
    <phoneticPr fontId="39"/>
  </si>
  <si>
    <t>社会福祉法人　八葉福祉会　やぐら保育園</t>
    <rPh sb="0" eb="6">
      <t>シャカイフクシホウジン</t>
    </rPh>
    <rPh sb="7" eb="8">
      <t>ハチ</t>
    </rPh>
    <rPh sb="8" eb="9">
      <t>ヨウ</t>
    </rPh>
    <rPh sb="9" eb="12">
      <t>フクシカイ</t>
    </rPh>
    <rPh sb="16" eb="19">
      <t>ホイクエン</t>
    </rPh>
    <phoneticPr fontId="39"/>
  </si>
  <si>
    <t>672-8091</t>
    <phoneticPr fontId="39"/>
  </si>
  <si>
    <t>姫路市飾磨区英賀保駅前町82番6</t>
    <phoneticPr fontId="39"/>
  </si>
  <si>
    <t>分園</t>
    <rPh sb="0" eb="2">
      <t>ブンエン</t>
    </rPh>
    <phoneticPr fontId="39"/>
  </si>
  <si>
    <t>金子園長</t>
    <rPh sb="0" eb="2">
      <t>カネコ</t>
    </rPh>
    <rPh sb="2" eb="4">
      <t>エンチョウ</t>
    </rPh>
    <phoneticPr fontId="39"/>
  </si>
  <si>
    <t>医療法人仁寿会　石川病院</t>
    <rPh sb="0" eb="4">
      <t>イリョウホウジン</t>
    </rPh>
    <rPh sb="4" eb="7">
      <t>ジンジュカイ</t>
    </rPh>
    <rPh sb="8" eb="10">
      <t>イシカワ</t>
    </rPh>
    <rPh sb="10" eb="12">
      <t>ビョウイン</t>
    </rPh>
    <phoneticPr fontId="39"/>
  </si>
  <si>
    <t>671-0221</t>
    <phoneticPr fontId="39"/>
  </si>
  <si>
    <t>姫路市別所町別所２丁目150</t>
    <rPh sb="0" eb="3">
      <t>ヒメジシ</t>
    </rPh>
    <rPh sb="3" eb="6">
      <t>ベッショチョウ</t>
    </rPh>
    <rPh sb="6" eb="8">
      <t>ベッショ</t>
    </rPh>
    <rPh sb="9" eb="11">
      <t>チョウメ</t>
    </rPh>
    <phoneticPr fontId="39"/>
  </si>
  <si>
    <t>石川病院　６階内部</t>
    <rPh sb="0" eb="4">
      <t>イシカワビョウイン</t>
    </rPh>
    <rPh sb="6" eb="7">
      <t>カイ</t>
    </rPh>
    <rPh sb="7" eb="9">
      <t>ナイブ</t>
    </rPh>
    <phoneticPr fontId="39"/>
  </si>
  <si>
    <t>村田</t>
    <phoneticPr fontId="39"/>
  </si>
  <si>
    <t>領収書</t>
    <phoneticPr fontId="39"/>
  </si>
  <si>
    <t>ニッケあすも加古川　220号室　水田泰子</t>
    <phoneticPr fontId="39"/>
  </si>
  <si>
    <t>675-0037</t>
    <phoneticPr fontId="39"/>
  </si>
  <si>
    <t>加古川市加古川町本町239-1</t>
    <phoneticPr fontId="39"/>
  </si>
  <si>
    <t>ニッケあすも内</t>
    <phoneticPr fontId="39"/>
  </si>
  <si>
    <t>ニッケあすも加古川　217号室　酒井　節男</t>
    <phoneticPr fontId="39"/>
  </si>
  <si>
    <t>㈱ニッケ・ケアサービス　ニッケあすも加古川</t>
    <phoneticPr fontId="39"/>
  </si>
  <si>
    <t xml:space="preserve">
茨城県神栖市賀2108-8
</t>
    <phoneticPr fontId="39"/>
  </si>
  <si>
    <t>見積書</t>
    <phoneticPr fontId="39"/>
  </si>
  <si>
    <t>671-1146</t>
    <phoneticPr fontId="39"/>
  </si>
  <si>
    <t>姫路市大津区大津町1-31-109</t>
    <phoneticPr fontId="39"/>
  </si>
  <si>
    <t>岡野様</t>
    <phoneticPr fontId="39"/>
  </si>
  <si>
    <t>上記工事</t>
    <rPh sb="0" eb="2">
      <t>ジョウキ</t>
    </rPh>
    <rPh sb="2" eb="4">
      <t>コウジ</t>
    </rPh>
    <phoneticPr fontId="5"/>
  </si>
  <si>
    <t>03-2503-009</t>
  </si>
  <si>
    <t>梅津眼科</t>
  </si>
  <si>
    <t>NSハイパーツ株式会社　</t>
  </si>
  <si>
    <t>509-0429</t>
  </si>
  <si>
    <t>依頼NO</t>
    <rPh sb="0" eb="2">
      <t>イライ</t>
    </rPh>
    <phoneticPr fontId="5"/>
  </si>
  <si>
    <t>請求書番号（経理用）</t>
  </si>
  <si>
    <t>発行日</t>
    <rPh sb="0" eb="3">
      <t>ハッコウビ</t>
    </rPh>
    <phoneticPr fontId="5"/>
  </si>
  <si>
    <t>1:担当者</t>
    <phoneticPr fontId="5"/>
  </si>
  <si>
    <t>8:請負金額</t>
    <phoneticPr fontId="5"/>
  </si>
  <si>
    <t>13:依頼書作成日</t>
    <rPh sb="3" eb="6">
      <t>イライショ</t>
    </rPh>
    <rPh sb="6" eb="9">
      <t>サクセイビ</t>
    </rPh>
    <phoneticPr fontId="5"/>
  </si>
  <si>
    <t>15:提出要項(その他)</t>
    <rPh sb="10" eb="11">
      <t>ホカ</t>
    </rPh>
    <phoneticPr fontId="28"/>
  </si>
  <si>
    <t>16:同封物</t>
    <phoneticPr fontId="28"/>
  </si>
  <si>
    <t>17:提出日付</t>
    <phoneticPr fontId="28"/>
  </si>
  <si>
    <t>20:請求書記載文言</t>
    <phoneticPr fontId="28"/>
  </si>
  <si>
    <t>21:担当者引継ぎコメント</t>
    <rPh sb="3" eb="6">
      <t>タントウシャ</t>
    </rPh>
    <rPh sb="6" eb="8">
      <t>ヒキツ</t>
    </rPh>
    <phoneticPr fontId="28"/>
  </si>
  <si>
    <t>22:領収書注意文</t>
    <phoneticPr fontId="28"/>
  </si>
  <si>
    <t>23:振込手数料注意文</t>
    <phoneticPr fontId="28"/>
  </si>
  <si>
    <t>24:但陽信金口座指定</t>
    <phoneticPr fontId="28"/>
  </si>
  <si>
    <t>阿比野建設　姫路パネル工場</t>
  </si>
  <si>
    <t>03-2550-001</t>
  </si>
  <si>
    <t>ニッケあすも内</t>
    <phoneticPr fontId="5"/>
  </si>
  <si>
    <t>着手：2025/07/25</t>
    <phoneticPr fontId="28"/>
  </si>
  <si>
    <t>完成：2026/02/12</t>
    <phoneticPr fontId="28"/>
  </si>
  <si>
    <t>引渡日：</t>
    <phoneticPr fontId="28"/>
  </si>
  <si>
    <t>提出日付：</t>
    <phoneticPr fontId="28"/>
  </si>
  <si>
    <t>2026年2月16日</t>
    <phoneticPr fontId="5"/>
  </si>
  <si>
    <t>aaa</t>
  </si>
  <si>
    <t>03-2509-028</t>
  </si>
  <si>
    <t>小林電工新社屋　軒天修繕工事</t>
  </si>
  <si>
    <t>山崎運送株式会社　吉村　様</t>
  </si>
  <si>
    <t>山崎運送株式会社</t>
  </si>
  <si>
    <t>671-0244</t>
  </si>
  <si>
    <t>兵庫県姫路市四郷町見野５１１−８</t>
  </si>
  <si>
    <t>工事写真の同封お願いします。</t>
  </si>
  <si>
    <t>レイテク</t>
    <phoneticPr fontId="5"/>
  </si>
  <si>
    <t>有</t>
  </si>
  <si>
    <t>依頼書Ｎｏ．</t>
    <rPh sb="0" eb="2">
      <t>イライ</t>
    </rPh>
    <rPh sb="2" eb="3">
      <t>カ</t>
    </rPh>
    <phoneticPr fontId="5"/>
  </si>
  <si>
    <t>2026年3月24日</t>
    <phoneticPr fontId="5"/>
  </si>
  <si>
    <t>　</t>
    <phoneticPr fontId="5"/>
  </si>
  <si>
    <t>工事番号：03-25000-1111-003</t>
    <phoneticPr fontId="28"/>
  </si>
  <si>
    <t>着手：2026/03/25</t>
    <phoneticPr fontId="5"/>
  </si>
  <si>
    <t>工事番号</t>
    <rPh sb="0" eb="2">
      <t>コウジ</t>
    </rPh>
    <rPh sb="2" eb="4">
      <t>バンゴウ</t>
    </rPh>
    <phoneticPr fontId="5"/>
  </si>
  <si>
    <t>請 求 書 提 出 依 頼 書</t>
  </si>
  <si>
    <t>請求宛名(正式名称)</t>
  </si>
  <si>
    <t>郵送先住所</t>
  </si>
  <si>
    <t>請求金額(税込)</t>
  </si>
  <si>
    <t>円</t>
  </si>
  <si>
    <t>工事名称</t>
  </si>
  <si>
    <t>工事番号</t>
  </si>
  <si>
    <t>作業現場</t>
  </si>
  <si>
    <t>作業依頼者</t>
  </si>
  <si>
    <t>提出要項</t>
  </si>
  <si>
    <t>同封物</t>
  </si>
  <si>
    <t>着手</t>
  </si>
  <si>
    <t>完成</t>
  </si>
  <si>
    <t>引渡日</t>
  </si>
  <si>
    <t>請求書日付</t>
  </si>
  <si>
    <t>名称</t>
  </si>
  <si>
    <t>数量</t>
  </si>
  <si>
    <t>単位</t>
  </si>
  <si>
    <t>単価</t>
  </si>
  <si>
    <t>金額</t>
  </si>
  <si>
    <t>小　計</t>
  </si>
  <si>
    <t>消費税 (10%)</t>
  </si>
  <si>
    <t>引き継ぎ
コメント</t>
  </si>
  <si>
    <t>上記の通り請求書の提出を願います。</t>
  </si>
  <si>
    <t>年</t>
  </si>
  <si>
    <t>月</t>
  </si>
  <si>
    <t>日</t>
  </si>
  <si>
    <t>提出依頼者</t>
  </si>
  <si>
    <t>氏　名</t>
  </si>
  <si>
    <t>請求書作成者</t>
  </si>
  <si>
    <t>部長</t>
  </si>
  <si>
    <t>引渡確認者</t>
  </si>
  <si>
    <t>依頼者</t>
  </si>
  <si>
    <t>㈱ニッケ・ケアサービス　ニッケあすも加古川</t>
    <phoneticPr fontId="5"/>
  </si>
  <si>
    <t>依頼書NO</t>
    <rPh sb="0" eb="2">
      <t>イライ</t>
    </rPh>
    <rPh sb="2" eb="3">
      <t>ショ</t>
    </rPh>
    <phoneticPr fontId="5"/>
  </si>
  <si>
    <t>〒675-0037　加古川市加古川町本町239-1</t>
    <phoneticPr fontId="5"/>
  </si>
  <si>
    <t>式</t>
    <phoneticPr fontId="5"/>
  </si>
  <si>
    <t>0419テスト</t>
    <phoneticPr fontId="5"/>
  </si>
  <si>
    <t>普通郵便</t>
    <phoneticPr fontId="5"/>
  </si>
  <si>
    <t>工事写真</t>
  </si>
  <si>
    <t>工事写真</t>
    <phoneticPr fontId="5"/>
  </si>
  <si>
    <t>あいうえお</t>
    <phoneticPr fontId="5"/>
  </si>
  <si>
    <t>かきくけこ</t>
    <phoneticPr fontId="5"/>
  </si>
  <si>
    <t>さしすせそ</t>
    <phoneticPr fontId="5"/>
  </si>
  <si>
    <t>たちつてと</t>
    <phoneticPr fontId="5"/>
  </si>
  <si>
    <t>なにぬねの</t>
    <phoneticPr fontId="5"/>
  </si>
  <si>
    <t>testです</t>
    <phoneticPr fontId="5"/>
  </si>
  <si>
    <t>仕様</t>
    <rPh sb="0" eb="2">
      <t>シヨウ</t>
    </rPh>
    <phoneticPr fontId="5"/>
  </si>
  <si>
    <t>建築事業部</t>
    <phoneticPr fontId="5"/>
  </si>
  <si>
    <t>(仮称)日鉄テックスエンジ株式会社堺構内統合事務所新築工事</t>
  </si>
  <si>
    <t>建築分　　222,673,000円(税込み)
構内分　　　30,173,000円(税込み)
NO.580、2/2　竣工式に伴う費用他　1,162,500-</t>
    <phoneticPr fontId="39"/>
  </si>
  <si>
    <t>姫路市姫路東消防団 谷内分団詰所改築工事（設計費）</t>
    <phoneticPr fontId="5"/>
  </si>
  <si>
    <t>播州調味料㈱ 排水処理設備 建設工事</t>
    <phoneticPr fontId="5"/>
  </si>
  <si>
    <t>Bill one で請求
6/30  62,800,000(6月出来高)
8/05  　8,350,000(７月出来高)
9/5 追加</t>
    <phoneticPr fontId="39"/>
  </si>
  <si>
    <t>NO.586、2/3、中間金　230,000,000-</t>
    <phoneticPr fontId="39"/>
  </si>
  <si>
    <t>Bill one で請求</t>
    <phoneticPr fontId="39"/>
  </si>
  <si>
    <t>岐阜県可児市姫ヶ丘丁目35　鈴村様</t>
    <phoneticPr fontId="39"/>
  </si>
  <si>
    <t>Bill one で請求_x000D_
08/05 42,600,000(７月出来高)_x000D_
09/05 24,850,000（8月出来高）　_x000D_
10/01   3,550,000（9月出来高）_x000D_
100％完了_x000D_
10/01追加工事　320,000-</t>
    <phoneticPr fontId="39"/>
  </si>
  <si>
    <t>3/24.3/31</t>
    <phoneticPr fontId="39"/>
  </si>
  <si>
    <t>【税抜き金額です！】
日鉄建材　浄化槽更新工事　114,000,000★
【内訳】
構内　83,000,000
建築　31,000,000★●　no.03-2503-001
建築の浄化槽更新工事　23,000,000★●
★は2025年度工事
●5,400,000が建築工事</t>
    <rPh sb="20" eb="24">
      <t>コウシンコウジ</t>
    </rPh>
    <phoneticPr fontId="39"/>
  </si>
  <si>
    <t>日鉄建材㈱広畑製造所　事務所増築工事（新設工事・解体工事）</t>
    <phoneticPr fontId="5"/>
  </si>
  <si>
    <t>日鉄建材㈱</t>
    <phoneticPr fontId="5"/>
  </si>
  <si>
    <t>※既設事務所148,000,000は今後工事番号取る
NO.711、3/28、25,000,000</t>
    <rPh sb="1" eb="6">
      <t>キセツジムショ</t>
    </rPh>
    <rPh sb="18" eb="24">
      <t>コンゴコウジバンゴウ</t>
    </rPh>
    <rPh sb="24" eb="25">
      <t>ト</t>
    </rPh>
    <phoneticPr fontId="39"/>
  </si>
  <si>
    <t>12/25　浄化槽更新工事撤去工事￥11,500,000-入江さん請求</t>
    <rPh sb="6" eb="9">
      <t>ジョウカソウ</t>
    </rPh>
    <rPh sb="9" eb="13">
      <t>コウシンコウジ</t>
    </rPh>
    <rPh sb="13" eb="17">
      <t>テッキョコウジ</t>
    </rPh>
    <rPh sb="29" eb="31">
      <t>イリエ</t>
    </rPh>
    <rPh sb="33" eb="35">
      <t>セイキュウ</t>
    </rPh>
    <phoneticPr fontId="39"/>
  </si>
  <si>
    <t>高見常務確認</t>
    <rPh sb="0" eb="2">
      <t>タカミ</t>
    </rPh>
    <rPh sb="2" eb="4">
      <t>ジョウム</t>
    </rPh>
    <rPh sb="4" eb="6">
      <t>カクニン</t>
    </rPh>
    <phoneticPr fontId="39"/>
  </si>
  <si>
    <t>NO.581、2/3、中間金　439,000,000-</t>
    <phoneticPr fontId="39"/>
  </si>
  <si>
    <t>持参　信國社長へ</t>
    <phoneticPr fontId="39"/>
  </si>
  <si>
    <t>信國社長が請求書提出依頼書作成_x000D_
8/18契約書に基づく中間時ご請求　10000000_x000D_
10/31契約書に基づく竣工時ご請求　23280500</t>
    <phoneticPr fontId="39"/>
  </si>
  <si>
    <t>東芝エレベータ㈱姫路工場　部品センター改修工事【１期工事】</t>
    <phoneticPr fontId="5"/>
  </si>
  <si>
    <t>工事は11/1～</t>
    <phoneticPr fontId="5"/>
  </si>
  <si>
    <t>●</t>
    <phoneticPr fontId="39"/>
  </si>
  <si>
    <t>済</t>
    <rPh sb="0" eb="1">
      <t>スミ</t>
    </rPh>
    <phoneticPr fontId="39"/>
  </si>
  <si>
    <t>●</t>
  </si>
  <si>
    <t>'済</t>
  </si>
  <si>
    <t>ファインレジデンス神戸新長田２年定期点検検査・補修工事</t>
    <phoneticPr fontId="5"/>
  </si>
  <si>
    <t>大林組</t>
    <phoneticPr fontId="5"/>
  </si>
  <si>
    <t>△</t>
    <phoneticPr fontId="39"/>
  </si>
  <si>
    <t>雑工事計算外の為△</t>
    <phoneticPr fontId="39"/>
  </si>
  <si>
    <t>03-2503-004</t>
    <phoneticPr fontId="39"/>
  </si>
  <si>
    <t>Bill one で請求
9/5追加分　174,000-</t>
    <phoneticPr fontId="39"/>
  </si>
  <si>
    <t>03-2503-006</t>
    <phoneticPr fontId="39"/>
  </si>
  <si>
    <t>03-2503-007</t>
    <phoneticPr fontId="39"/>
  </si>
  <si>
    <t>姫路市姫路西消防団太市分団詰所改築工事</t>
    <phoneticPr fontId="39"/>
  </si>
  <si>
    <t>近藤正和</t>
    <phoneticPr fontId="39"/>
  </si>
  <si>
    <t>キングフーズ㈱焙煎室壁補修工事</t>
    <phoneticPr fontId="39"/>
  </si>
  <si>
    <t>キングフーズ㈱</t>
    <phoneticPr fontId="39"/>
  </si>
  <si>
    <t>650,000から金額変更</t>
    <phoneticPr fontId="39"/>
  </si>
  <si>
    <t xml:space="preserve">キングフーズ 株式会社  </t>
  </si>
  <si>
    <t>兵庫県高砂市荒井町新浜2-12-1　管理部 川内様</t>
  </si>
  <si>
    <t>ｷﾝｸﾞﾌｰｽﾞ 株式会社</t>
  </si>
  <si>
    <t>青田　誠</t>
  </si>
  <si>
    <t>03-2515-002</t>
    <phoneticPr fontId="39"/>
  </si>
  <si>
    <t>赤穂市新学校給食センター整備事業　事務備品調達</t>
    <phoneticPr fontId="39"/>
  </si>
  <si>
    <t>㈱IHI　ＩＡ開発試験場法面整備工事R1（給水管切回し）</t>
    <phoneticPr fontId="39"/>
  </si>
  <si>
    <t>梅津眼科　</t>
    <phoneticPr fontId="39"/>
  </si>
  <si>
    <t>671-1116</t>
    <phoneticPr fontId="39"/>
  </si>
  <si>
    <t>姫路市広畑区正門通2-8-4　院長　梅津秀夫　様</t>
    <phoneticPr fontId="39"/>
  </si>
  <si>
    <t>梅津眼科</t>
    <phoneticPr fontId="39"/>
  </si>
  <si>
    <t>院長　梅津秀夫</t>
    <phoneticPr fontId="39"/>
  </si>
  <si>
    <t>梅津先生</t>
    <phoneticPr fontId="39"/>
  </si>
  <si>
    <t>姫路市広畑区正門通2-8-4　院長　梅津秀夫様</t>
    <phoneticPr fontId="39"/>
  </si>
  <si>
    <t>ムツミ商事株式会社</t>
  </si>
  <si>
    <t>671-2222</t>
  </si>
  <si>
    <t>姫路市青山4丁目24番8号</t>
  </si>
  <si>
    <t>姫路市立書写中学校 曽佐小学校 敷地内</t>
  </si>
  <si>
    <t>ムツミ商事㈱　柴田さん</t>
  </si>
  <si>
    <t>03-2509-004</t>
  </si>
  <si>
    <t>特別養護老人ホームときわ　厨房洗浄室巾木補修（２回目）</t>
  </si>
  <si>
    <t>特別養護老人ホーム　ときわ</t>
  </si>
  <si>
    <t>特になし</t>
  </si>
  <si>
    <t>社会福祉法人洗心会 特別養護老人ホームときわ 松岡施設長</t>
  </si>
  <si>
    <t>651-2109</t>
  </si>
  <si>
    <t>兵庫県神戸市西区前開南町2丁目1番12号</t>
  </si>
  <si>
    <t>同上</t>
  </si>
  <si>
    <t>松岡施設長</t>
  </si>
  <si>
    <t>03-2509-005</t>
  </si>
  <si>
    <t>小林電工株式会社　３階壁改修工事</t>
  </si>
  <si>
    <t>小林電工株式会社　小林会長</t>
  </si>
  <si>
    <t>特になし</t>
    <phoneticPr fontId="39"/>
  </si>
  <si>
    <t>小林電工株式会社　</t>
    <phoneticPr fontId="39"/>
  </si>
  <si>
    <t>670-0056</t>
    <phoneticPr fontId="39"/>
  </si>
  <si>
    <t>姫路市東今宿3-10-17　取締役会長      小林　義昭　様</t>
    <phoneticPr fontId="39"/>
  </si>
  <si>
    <t>同上</t>
    <phoneticPr fontId="39"/>
  </si>
  <si>
    <t>小林義昭　会長</t>
    <phoneticPr fontId="39"/>
  </si>
  <si>
    <t>シャッターリモコン調整含む</t>
    <phoneticPr fontId="39"/>
  </si>
  <si>
    <t>03-2513-011</t>
    <phoneticPr fontId="39"/>
  </si>
  <si>
    <t>㈱IHI　ＩＡタンクローリー法面整備工事</t>
    <phoneticPr fontId="39"/>
  </si>
  <si>
    <t>㈱IHI</t>
    <phoneticPr fontId="39"/>
  </si>
  <si>
    <t>技建相生 担当：廣田　憲治</t>
    <phoneticPr fontId="39"/>
  </si>
  <si>
    <t>03-2514-005</t>
    <phoneticPr fontId="39"/>
  </si>
  <si>
    <t>(仮称)認知症高齢者グループホームはなみずき新築工事</t>
    <phoneticPr fontId="39"/>
  </si>
  <si>
    <t>社会福祉法人洗心会　理事長　池田　省平</t>
    <phoneticPr fontId="39"/>
  </si>
  <si>
    <t xml:space="preserve">
DigitalBillder登録について確認
</t>
    <rPh sb="15" eb="17">
      <t>トウロク</t>
    </rPh>
    <rPh sb="21" eb="23">
      <t>カクニン</t>
    </rPh>
    <phoneticPr fontId="39"/>
  </si>
  <si>
    <t>青田　誠</t>
    <phoneticPr fontId="39"/>
  </si>
  <si>
    <t>03-2516-002</t>
    <phoneticPr fontId="39"/>
  </si>
  <si>
    <t>播州調味料㈱　脱塩第2工場新築工事</t>
    <phoneticPr fontId="39"/>
  </si>
  <si>
    <t>播州調味料㈱代表取締役社長　中川善弘</t>
    <phoneticPr fontId="39"/>
  </si>
  <si>
    <t>03-2509-006</t>
  </si>
  <si>
    <t>石川病院　新館5階　リハビリスタッフ室　鍵交換</t>
    <phoneticPr fontId="39"/>
  </si>
  <si>
    <t>石川病院</t>
    <phoneticPr fontId="39"/>
  </si>
  <si>
    <t>医療法人仁寿会　石川病院　</t>
  </si>
  <si>
    <t>671-0221</t>
  </si>
  <si>
    <t>姫路市別所町別所2丁目150番地</t>
  </si>
  <si>
    <t>石川病院　新館</t>
  </si>
  <si>
    <t>村田　様</t>
  </si>
  <si>
    <t>03-2513-012</t>
  </si>
  <si>
    <t>ニッケあすも加古川　117号室　補修工事</t>
    <phoneticPr fontId="39"/>
  </si>
  <si>
    <t>ニッケあすも加古川　117号室　小西文子様</t>
    <phoneticPr fontId="39"/>
  </si>
  <si>
    <t>ニッケあすも加古川117号室　小西　文子様　</t>
    <phoneticPr fontId="39"/>
  </si>
  <si>
    <t>加古川市加古川町本町239-1㈱　ニッケ・ケアサービス宛て</t>
    <phoneticPr fontId="39"/>
  </si>
  <si>
    <t>領収書　ニッケあすも加古川117号室　小西　文子様　宛てで作成お願いします</t>
    <phoneticPr fontId="39"/>
  </si>
  <si>
    <t>阿比野建設　広畑構内事業所新築工事</t>
    <phoneticPr fontId="39"/>
  </si>
  <si>
    <t>阿比野建設㈱</t>
    <phoneticPr fontId="39"/>
  </si>
  <si>
    <t>03-2503-010</t>
    <phoneticPr fontId="39"/>
  </si>
  <si>
    <t>中尾調剤薬局飾磨支店 新築工事</t>
    <phoneticPr fontId="39"/>
  </si>
  <si>
    <t>中尾調剤薬局</t>
    <phoneticPr fontId="39"/>
  </si>
  <si>
    <t>NO.590、2/6、完了金　31,539,000-</t>
    <phoneticPr fontId="39"/>
  </si>
  <si>
    <t>猪澤和喜</t>
    <phoneticPr fontId="39"/>
  </si>
  <si>
    <t>03-2508-003</t>
  </si>
  <si>
    <t>サンスマイル北野　補給水用電動弁取替工事</t>
    <phoneticPr fontId="39"/>
  </si>
  <si>
    <t>医療法人財団春日野会理事長草野泰子</t>
    <phoneticPr fontId="39"/>
  </si>
  <si>
    <t>医療法人財団春日野会サンスマイル北野</t>
    <phoneticPr fontId="39"/>
  </si>
  <si>
    <t>679-0205</t>
    <phoneticPr fontId="39"/>
  </si>
  <si>
    <t>兵庫県加東市北野55番地1.2　藤川事務長宛　</t>
    <phoneticPr fontId="39"/>
  </si>
  <si>
    <t>兵庫県加東市北野55番地1.2　</t>
    <phoneticPr fontId="39"/>
  </si>
  <si>
    <t>サンスマイル北野 藤川事務長宛　</t>
    <phoneticPr fontId="39"/>
  </si>
  <si>
    <t>03-2509-007</t>
  </si>
  <si>
    <t>石川邸　パラソル設置</t>
  </si>
  <si>
    <t>石川　智基　様</t>
  </si>
  <si>
    <t>石川智基様</t>
  </si>
  <si>
    <t>姫路市別所町別所　石川智基様</t>
  </si>
  <si>
    <t>石川智基 奥様</t>
  </si>
  <si>
    <t>9/16作成済</t>
  </si>
  <si>
    <t>03-2514-006</t>
  </si>
  <si>
    <t>梅津眼科　間仕切りカーテン+カーテンレール取付</t>
  </si>
  <si>
    <t>梅津秀夫　院長</t>
    <phoneticPr fontId="39"/>
  </si>
  <si>
    <t>03-2514-007</t>
  </si>
  <si>
    <t>福伸電機株式会社清明寮　寮室フローリング貼替306．309号室</t>
  </si>
  <si>
    <t>福伸電機株式会社</t>
  </si>
  <si>
    <t>今回はメールで送付</t>
    <phoneticPr fontId="39"/>
  </si>
  <si>
    <t>福伸電機株式会社</t>
    <phoneticPr fontId="39"/>
  </si>
  <si>
    <t>679-2288</t>
    <phoneticPr fontId="39"/>
  </si>
  <si>
    <t>兵庫県神崎郡福崎町福田447-1　担当者：南 様</t>
    <phoneticPr fontId="39"/>
  </si>
  <si>
    <t>清明寮</t>
    <phoneticPr fontId="39"/>
  </si>
  <si>
    <t>福伸電機株式会社　南 様</t>
    <phoneticPr fontId="39"/>
  </si>
  <si>
    <t>井川貴裕</t>
    <phoneticPr fontId="39"/>
  </si>
  <si>
    <t>03-2515-003</t>
  </si>
  <si>
    <t>本田冷蔵㈱関連工事</t>
    <phoneticPr fontId="39"/>
  </si>
  <si>
    <t>本田冷蔵</t>
    <phoneticPr fontId="39"/>
  </si>
  <si>
    <t>本田冷蔵㈱太子工場　</t>
    <phoneticPr fontId="39"/>
  </si>
  <si>
    <t>671-1532</t>
    <phoneticPr fontId="39"/>
  </si>
  <si>
    <t>兵庫県揖保郡太子町糸井318　</t>
    <phoneticPr fontId="39"/>
  </si>
  <si>
    <t>兵庫県揖保郡太子町糸井318</t>
    <phoneticPr fontId="39"/>
  </si>
  <si>
    <t>代表取締役社長　本田 明良</t>
    <phoneticPr fontId="39"/>
  </si>
  <si>
    <t xml:space="preserve">1/13_x000D_
本田昭子さん　￥700,000-(税抜き)　_x000D_
工期：12/15～12/26_x000D_
・工事名「網干造成地　重力式擁壁工事」_x000D_
・「本田昭子」様で請求書作成して下さい_x000D_
・「本田昭子」様より入金があります_x000D_
_x000D_
4/8_x000D_
本田冷蔵㈱擁壁・側溝敷設工事　￥5,300,000-		_x000D_
本田冷蔵㈱太子工場第二冷蔵倉庫北側舗装工事　￥7,500,000-				_x000D_
本田冷蔵㈱太子工場クレーン修理に伴うレッカー配置及び内部養生工事　￥800,000-				_x000D_
本田冷蔵㈱姫路工場　アスベスト調査工事　￥400,000-_x000D_
合計　￥14,000,000-(税抜き)		_x000D_
_x000D_
</t>
    <phoneticPr fontId="39"/>
  </si>
  <si>
    <t>03-2509-008</t>
  </si>
  <si>
    <t>石川病院　寮　シリンダー交換工事</t>
  </si>
  <si>
    <t>医療法人仁寿会　石川病院</t>
  </si>
  <si>
    <t>医療法人仁寿会　石川病院</t>
    <phoneticPr fontId="39"/>
  </si>
  <si>
    <t>姫路市別所町別所2丁目150番地</t>
    <phoneticPr fontId="39"/>
  </si>
  <si>
    <t>石川病院　寮</t>
    <phoneticPr fontId="39"/>
  </si>
  <si>
    <t>田中　様</t>
    <phoneticPr fontId="39"/>
  </si>
  <si>
    <t>03-2509-009</t>
  </si>
  <si>
    <t>やぐら保育園　排煙オペレーター修理工事</t>
  </si>
  <si>
    <t>社会福祉法人　八葉福祉会　やぐら保育園　金子園長　様</t>
  </si>
  <si>
    <t>手渡し　営業へ</t>
    <phoneticPr fontId="39"/>
  </si>
  <si>
    <t>やぐら保育園　金子園長　様</t>
    <phoneticPr fontId="39"/>
  </si>
  <si>
    <t>姫路市飾磨区英賀保駅前町82-6</t>
    <phoneticPr fontId="39"/>
  </si>
  <si>
    <t>やぐら保育園　1階</t>
    <phoneticPr fontId="39"/>
  </si>
  <si>
    <t>金子園長　様</t>
    <phoneticPr fontId="39"/>
  </si>
  <si>
    <t>営業担当　大久保さんへ渡してください</t>
    <phoneticPr fontId="39"/>
  </si>
  <si>
    <t>03-2513-013</t>
  </si>
  <si>
    <t>㈱IHI　赤レンガ倉庫補修工事</t>
  </si>
  <si>
    <t>㈱IHI</t>
  </si>
  <si>
    <t>03-2508-004</t>
  </si>
  <si>
    <t>リビオ西宮門戸6F共用廊下雨仕舞対策工事</t>
  </si>
  <si>
    <t>日鉄興和不動産㈱</t>
  </si>
  <si>
    <t>日鉄興和不動産株式会社</t>
  </si>
  <si>
    <t>リビオ西宮門戸</t>
  </si>
  <si>
    <t>営業　入江さんが持参</t>
  </si>
  <si>
    <t>03-2514-008</t>
  </si>
  <si>
    <t>パーム今泉新館オーバーフロー管増設工事</t>
  </si>
  <si>
    <t>井上様</t>
  </si>
  <si>
    <t>639-0264</t>
    <phoneticPr fontId="39"/>
  </si>
  <si>
    <t>奈良県香芝市今泉716</t>
    <phoneticPr fontId="39"/>
  </si>
  <si>
    <t>パーム今泉新館</t>
    <phoneticPr fontId="39"/>
  </si>
  <si>
    <t>井上様</t>
    <phoneticPr fontId="39"/>
  </si>
  <si>
    <t>信國社長が請求_x000D_
個人へ請求。井上さんはパーム今泉のオーナー</t>
    <phoneticPr fontId="39"/>
  </si>
  <si>
    <t>03-2513-014</t>
  </si>
  <si>
    <t>㈱IHI　IMM新工場計画に向けた各種調査業務IMM新工場計画に向けた各種調査業務のうちボーリング調査R1</t>
    <phoneticPr fontId="39"/>
  </si>
  <si>
    <t>03-2516-003</t>
  </si>
  <si>
    <t>播州調味料 浄化水室 屋根・壁塗装工事</t>
    <rPh sb="11" eb="13">
      <t>ヤネ</t>
    </rPh>
    <rPh sb="14" eb="15">
      <t>カベ</t>
    </rPh>
    <rPh sb="15" eb="19">
      <t>トソウコウジ</t>
    </rPh>
    <phoneticPr fontId="39"/>
  </si>
  <si>
    <t>播州調味料㈱</t>
    <phoneticPr fontId="39"/>
  </si>
  <si>
    <t>03-2516-004</t>
  </si>
  <si>
    <t>播州調味料 境界擁壁更新工事</t>
    <phoneticPr fontId="39"/>
  </si>
  <si>
    <t>03-2513-015</t>
    <phoneticPr fontId="39"/>
  </si>
  <si>
    <t>㈱IHI　相生事業所_管理者不明残置物撤去処分 アスベスト調査</t>
    <rPh sb="29" eb="31">
      <t>チョウサ</t>
    </rPh>
    <phoneticPr fontId="39"/>
  </si>
  <si>
    <t>03-2503-011</t>
    <phoneticPr fontId="39"/>
  </si>
  <si>
    <t>産業振興㈱北九州ヤード事務所新築工事（SH）</t>
    <phoneticPr fontId="39"/>
  </si>
  <si>
    <t>産業振興㈱　</t>
  </si>
  <si>
    <t>契約書：高見常務か管家さんに確認</t>
    <rPh sb="0" eb="3">
      <t>ケイヤクショ</t>
    </rPh>
    <rPh sb="4" eb="6">
      <t>タカミ</t>
    </rPh>
    <rPh sb="6" eb="8">
      <t>ジョウム</t>
    </rPh>
    <rPh sb="9" eb="10">
      <t>カン</t>
    </rPh>
    <rPh sb="10" eb="11">
      <t>イエ</t>
    </rPh>
    <rPh sb="14" eb="16">
      <t>カクニン</t>
    </rPh>
    <phoneticPr fontId="39"/>
  </si>
  <si>
    <t>Billone3/5アップ</t>
    <phoneticPr fontId="39"/>
  </si>
  <si>
    <t>NSハイパーツ株式会社</t>
    <phoneticPr fontId="39"/>
  </si>
  <si>
    <t>岐阜県可児市姫ヶ丘丁目35　中澤 様</t>
    <phoneticPr fontId="39"/>
  </si>
  <si>
    <t>姫路パネル製作工場</t>
  </si>
  <si>
    <t>100％完了(弘一建設分）_x000D_
3/4　100％完了（NSハイパーツ分）</t>
    <phoneticPr fontId="39"/>
  </si>
  <si>
    <t>03-2503-012</t>
  </si>
  <si>
    <t>カワサキテクノクリエイツ本社移転工事</t>
  </si>
  <si>
    <t>川重ファシリテック㈱</t>
  </si>
  <si>
    <t>03-2514-009</t>
  </si>
  <si>
    <t>福伸電機株式会社 清明寮 電動弁工事</t>
  </si>
  <si>
    <t>PDFでメール※紙での送付は不要</t>
    <phoneticPr fontId="39"/>
  </si>
  <si>
    <t xml:space="preserve">担当者にメールで送付の為、PDFで保原、西川に送付お願いします。紙での郵送は不要です。_x000D_
</t>
  </si>
  <si>
    <t>03-2510-006</t>
  </si>
  <si>
    <t>新長田　荻原記念病院2年点検対応工事</t>
    <phoneticPr fontId="39"/>
  </si>
  <si>
    <t>大林組</t>
    <phoneticPr fontId="39"/>
  </si>
  <si>
    <t>雑工事計算外の為△</t>
    <rPh sb="0" eb="3">
      <t>ザツコウジ</t>
    </rPh>
    <rPh sb="3" eb="6">
      <t>ケイサンガイ</t>
    </rPh>
    <rPh sb="7" eb="8">
      <t>タメ</t>
    </rPh>
    <phoneticPr fontId="39"/>
  </si>
  <si>
    <t>03-2508-005</t>
  </si>
  <si>
    <t>第2多機能ホーム銀の鈴　電気錠修理工事</t>
    <phoneticPr fontId="39"/>
  </si>
  <si>
    <t>(有)ケアサポートかさい代表取締役　露口道子様</t>
    <phoneticPr fontId="39"/>
  </si>
  <si>
    <t>(有)ケアサポートかさい　</t>
    <phoneticPr fontId="39"/>
  </si>
  <si>
    <t>675-2365</t>
    <phoneticPr fontId="39"/>
  </si>
  <si>
    <t>兵庫県加西市畑町2289-59 (有)ケアサポートかさい　代表取締役　露口　道子　様</t>
    <phoneticPr fontId="39"/>
  </si>
  <si>
    <t>第2多機能ホーム銀の鈴</t>
    <phoneticPr fontId="39"/>
  </si>
  <si>
    <t>露口道子</t>
    <phoneticPr fontId="39"/>
  </si>
  <si>
    <t>03-2510-007</t>
  </si>
  <si>
    <t>ジーライオンアリーナ神戸空調検証費</t>
    <phoneticPr fontId="39"/>
  </si>
  <si>
    <t>鳳工業㈱</t>
  </si>
  <si>
    <t>請求書は指定書式で発行済み</t>
  </si>
  <si>
    <t>注文書・発注書</t>
    <phoneticPr fontId="39"/>
  </si>
  <si>
    <t>鳳工業株式会社</t>
    <phoneticPr fontId="39"/>
  </si>
  <si>
    <t>554-0002</t>
    <phoneticPr fontId="39"/>
  </si>
  <si>
    <t>大阪市此花区伝法4丁目3-59　設備事業部　設備部　中西俊紀　工事部長宛</t>
    <phoneticPr fontId="39"/>
  </si>
  <si>
    <t>神戸市長田区大橋町7丁目</t>
    <phoneticPr fontId="39"/>
  </si>
  <si>
    <t>鳳工業　中西様</t>
    <phoneticPr fontId="39"/>
  </si>
  <si>
    <t xml:space="preserve">請求書は指定用紙で提出_x000D_
注文書・発注書添付_x000D_
</t>
    <phoneticPr fontId="39"/>
  </si>
  <si>
    <t>03-2503-013</t>
  </si>
  <si>
    <t>姫路市姫路西消防団 城陽分団詰所新築工事（構造設計費）</t>
    <phoneticPr fontId="39"/>
  </si>
  <si>
    <t>㈱魚崎設計</t>
    <phoneticPr fontId="39"/>
  </si>
  <si>
    <t>03-2509-010</t>
  </si>
  <si>
    <t>カノープス姫路　キャビネットファン取替工事</t>
  </si>
  <si>
    <t>老人保健施設カノープス姫路　宇野様</t>
  </si>
  <si>
    <t>老人保健施設カノープス姫路</t>
    <phoneticPr fontId="39"/>
  </si>
  <si>
    <t>03-2509-011</t>
  </si>
  <si>
    <t>カノープス姫路　厨房換気扇取替工事</t>
  </si>
  <si>
    <t>老人保健施設　カノープス姫路　宇野様</t>
  </si>
  <si>
    <t>03-2508-006</t>
  </si>
  <si>
    <t>リビオ西宮門戸共用廊下6階雨仕舞対策工事（日鉄コミュニティ）</t>
    <phoneticPr fontId="39"/>
  </si>
  <si>
    <t>日鉄コミュニティ</t>
    <phoneticPr fontId="39"/>
  </si>
  <si>
    <t>リビオ西宮門戸管理組合</t>
  </si>
  <si>
    <t>550-0005</t>
  </si>
  <si>
    <t>大阪市西区西本町1-7-19　ワイダ本町ビル3階</t>
  </si>
  <si>
    <t>内藤様</t>
  </si>
  <si>
    <t>03-2503-014</t>
  </si>
  <si>
    <t>飾磨消防団八幡分団詰所新築工事(構造設計費)</t>
  </si>
  <si>
    <t>㈱魚崎設計</t>
  </si>
  <si>
    <t>03-2509-012</t>
  </si>
  <si>
    <t>石川病院　東館１階　フローリングやり替え工事</t>
  </si>
  <si>
    <t>石川病院　東館</t>
  </si>
  <si>
    <t>田中　様</t>
  </si>
  <si>
    <t>03-2513-016</t>
  </si>
  <si>
    <t>医療法人尚生会　加茂病院　新本館　6病棟準隔離室コンセント取替工事</t>
    <phoneticPr fontId="39"/>
  </si>
  <si>
    <t>医療法人尚生会　加茂病院　</t>
    <phoneticPr fontId="39"/>
  </si>
  <si>
    <t>03-2513-017</t>
  </si>
  <si>
    <t>パストラル改修工事</t>
  </si>
  <si>
    <t xml:space="preserve"> 医療法人 尚生会 加茂病院</t>
  </si>
  <si>
    <t>03-2509-013</t>
  </si>
  <si>
    <t>石川邸　アプローチタイル補修工事</t>
  </si>
  <si>
    <t>03-2509-014</t>
  </si>
  <si>
    <t>医療法人仁寿会　石川病院　東館外壁調査＋補修工事</t>
  </si>
  <si>
    <t>工事報告書</t>
  </si>
  <si>
    <t>工事報告書が出来次第　同封し郵送お願いします。</t>
  </si>
  <si>
    <t>03-2512-004</t>
  </si>
  <si>
    <t>オアシスデンタルクリニック　1階柱補修工事</t>
  </si>
  <si>
    <t>損保ジャパン(株)</t>
  </si>
  <si>
    <t>写真</t>
    <phoneticPr fontId="39"/>
  </si>
  <si>
    <t>損保ジャパン(株)神戸保険金サービス第一課　徳毛様</t>
    <phoneticPr fontId="39"/>
  </si>
  <si>
    <t>650-0023</t>
    <phoneticPr fontId="39"/>
  </si>
  <si>
    <t>兵庫県神戸市中央区栄町通4-2-16_x000D_
損保ジャパン神戸みなと元町ビル5階</t>
    <phoneticPr fontId="39"/>
  </si>
  <si>
    <t>神戸保険金サービス第一課　徳毛様</t>
    <phoneticPr fontId="39"/>
  </si>
  <si>
    <t>完成写真同梱必要</t>
    <phoneticPr fontId="39"/>
  </si>
  <si>
    <t>03-2512-005</t>
  </si>
  <si>
    <t>佐々木整形外科　レントゲン室扉ドアチェック交換工事</t>
  </si>
  <si>
    <t>医療法人社団　健樹会　ささき整形外科クリニック</t>
  </si>
  <si>
    <t>671-1523</t>
  </si>
  <si>
    <t>揖保郡太子町東南345</t>
  </si>
  <si>
    <t>成富様</t>
  </si>
  <si>
    <t>03-2514-010</t>
    <phoneticPr fontId="39"/>
  </si>
  <si>
    <t>広英保育園たんぽぽホール空調機更新</t>
    <phoneticPr fontId="39"/>
  </si>
  <si>
    <t>社会福祉法人　八葉会</t>
  </si>
  <si>
    <t>社会福祉法人　八葉福祉会</t>
  </si>
  <si>
    <t>672-8088</t>
  </si>
  <si>
    <t>姫路市飾磨区英賀西町二丁目33</t>
  </si>
  <si>
    <t>広英保育園たんぽぽホール</t>
  </si>
  <si>
    <t>金子園長</t>
  </si>
  <si>
    <t>03-2509-015</t>
  </si>
  <si>
    <t>医療法人仁寿会石川病院　東館４階トイレフラッシュバルブ交換工事</t>
  </si>
  <si>
    <t>03-2514-011</t>
    <phoneticPr fontId="39"/>
  </si>
  <si>
    <t>日鉄ケミカル＆マテリアル㈱新事務所建設工事</t>
    <phoneticPr fontId="39"/>
  </si>
  <si>
    <t>日鉄テックスエンジ㈱</t>
  </si>
  <si>
    <t>NSハイパーツ株式会社　中澤様</t>
    <phoneticPr fontId="39"/>
  </si>
  <si>
    <t>請求1回目：パネル製作（トラス以外完了）　運搬50％_x000D_
請求2回目：パネル製作完了・運搬完了　</t>
    <phoneticPr fontId="39"/>
  </si>
  <si>
    <t>03-2509-016</t>
  </si>
  <si>
    <t>石川邸　玄関ドア　パッキン交換</t>
  </si>
  <si>
    <t>石川　奥様</t>
  </si>
  <si>
    <t>持参しますので、安パト時にでも現場に持って来てください。</t>
  </si>
  <si>
    <t>03-2514-012</t>
  </si>
  <si>
    <t>（仮称）滋賀彦根オフィス新築工事</t>
    <phoneticPr fontId="39"/>
  </si>
  <si>
    <t>㈱藤木工務店</t>
    <phoneticPr fontId="39"/>
  </si>
  <si>
    <t>03-2516-005</t>
  </si>
  <si>
    <t>播州調味料　製品貯蔵棟屋根洗浄</t>
    <phoneticPr fontId="39"/>
  </si>
  <si>
    <t>播州調味料㈱</t>
  </si>
  <si>
    <t>03-2516-006</t>
    <phoneticPr fontId="39"/>
  </si>
  <si>
    <t>イーシステム設備基礎</t>
    <phoneticPr fontId="39"/>
  </si>
  <si>
    <t>(株)イーシステム</t>
  </si>
  <si>
    <t>03-2516-007</t>
    <phoneticPr fontId="39"/>
  </si>
  <si>
    <t>播州調味料　流し台交換</t>
    <phoneticPr fontId="39"/>
  </si>
  <si>
    <t>03-2513-018</t>
    <phoneticPr fontId="39"/>
  </si>
  <si>
    <t>新本館　換気ｶﾞﾗﾘ清掃作業</t>
    <phoneticPr fontId="39"/>
  </si>
  <si>
    <t>03-2509-017</t>
    <phoneticPr fontId="39"/>
  </si>
  <si>
    <t>小林電工株式会社　3階ふすま修繕工事</t>
    <phoneticPr fontId="39"/>
  </si>
  <si>
    <t>小林電工株式会社</t>
  </si>
  <si>
    <t>670-0056</t>
  </si>
  <si>
    <t>姫路市東今宿3-10-17　取締役会長      小林　義昭　様</t>
  </si>
  <si>
    <t>小林義昭　会長</t>
  </si>
  <si>
    <t>03-2513-019</t>
  </si>
  <si>
    <t>㈱IHI　日の浦６棟 地盤調査</t>
  </si>
  <si>
    <t>白井栄司</t>
  </si>
  <si>
    <t>03-2510-008</t>
    <phoneticPr fontId="39"/>
  </si>
  <si>
    <t>クレーネサンヨウ　漏水応急対応工事</t>
    <phoneticPr fontId="39"/>
  </si>
  <si>
    <t>山陽特殊製鋼株式会社</t>
  </si>
  <si>
    <t>03-2513-020</t>
    <phoneticPr fontId="39"/>
  </si>
  <si>
    <t xml:space="preserve"> ㈱IHI　IMM新工場計画に向けた各種調査業務のうちボーリング調査R1</t>
  </si>
  <si>
    <t>03-2509-018</t>
    <phoneticPr fontId="39"/>
  </si>
  <si>
    <t>老人保健施設　カノープス姫路 フローリング補修</t>
    <phoneticPr fontId="39"/>
  </si>
  <si>
    <t>老人保健施設　カノープス姫路　宇野　様</t>
    <phoneticPr fontId="39"/>
  </si>
  <si>
    <t>老人保健施設カノープス姫路</t>
  </si>
  <si>
    <t>姫路市別所町別所960-1</t>
  </si>
  <si>
    <t>宇野様</t>
  </si>
  <si>
    <t>03-2509-019</t>
  </si>
  <si>
    <t>石川病院　駐車場フェンス修繕工事</t>
    <phoneticPr fontId="39"/>
  </si>
  <si>
    <t>ＡＩＧ損害保険険株式会社</t>
    <phoneticPr fontId="39"/>
  </si>
  <si>
    <t>写真</t>
  </si>
  <si>
    <t>ＡＩＧ損害保険険株式会社 姫路サービスセンター</t>
  </si>
  <si>
    <t>670-0964</t>
  </si>
  <si>
    <t>兵庫県姫路市豊沢町１３５_x000D_
姫路市豊沢町１３５姫路大同生命ビル３Ｆ</t>
  </si>
  <si>
    <t>石川病院　駐車場</t>
  </si>
  <si>
    <t>寺本　様</t>
  </si>
  <si>
    <t>工事写真同封お願いします。</t>
  </si>
  <si>
    <t>03-2513-021</t>
    <phoneticPr fontId="39"/>
  </si>
  <si>
    <t>ニッケあすも加古川　厨房床修繕(鉄板養生)工事</t>
    <rPh sb="21" eb="23">
      <t>コウジ</t>
    </rPh>
    <phoneticPr fontId="39"/>
  </si>
  <si>
    <t>日本毛織株式会社</t>
  </si>
  <si>
    <t>日本毛織株式会社　担当：人とみらい開発事業本部　不動産部　不動産開発部　堀　様</t>
    <rPh sb="0" eb="2">
      <t>ニホン</t>
    </rPh>
    <rPh sb="2" eb="4">
      <t>ケオリ</t>
    </rPh>
    <rPh sb="4" eb="8">
      <t>カブシキガイシャ</t>
    </rPh>
    <rPh sb="9" eb="11">
      <t>タントウ</t>
    </rPh>
    <rPh sb="12" eb="13">
      <t>ヒト</t>
    </rPh>
    <rPh sb="17" eb="19">
      <t>カイハツ</t>
    </rPh>
    <rPh sb="19" eb="23">
      <t>ジギョウホンブ</t>
    </rPh>
    <rPh sb="24" eb="28">
      <t>フドウサンブ</t>
    </rPh>
    <rPh sb="29" eb="32">
      <t>フドウサン</t>
    </rPh>
    <rPh sb="32" eb="35">
      <t>カイハツブ</t>
    </rPh>
    <rPh sb="36" eb="37">
      <t>ホリ</t>
    </rPh>
    <rPh sb="38" eb="39">
      <t>サマ</t>
    </rPh>
    <phoneticPr fontId="39"/>
  </si>
  <si>
    <t>650-0037</t>
    <phoneticPr fontId="39"/>
  </si>
  <si>
    <t>神戸市中央区明石町47番地ニッケ神戸ビル3階</t>
    <rPh sb="0" eb="3">
      <t>コウベシ</t>
    </rPh>
    <rPh sb="3" eb="6">
      <t>チュウオウク</t>
    </rPh>
    <rPh sb="6" eb="8">
      <t>アカシ</t>
    </rPh>
    <rPh sb="8" eb="9">
      <t>チョウ</t>
    </rPh>
    <rPh sb="11" eb="13">
      <t>バンチ</t>
    </rPh>
    <rPh sb="16" eb="18">
      <t>コウベ</t>
    </rPh>
    <rPh sb="21" eb="22">
      <t>カイ</t>
    </rPh>
    <phoneticPr fontId="39"/>
  </si>
  <si>
    <t>ニッケあすも加古川</t>
    <rPh sb="6" eb="9">
      <t>カコガワ</t>
    </rPh>
    <phoneticPr fontId="39"/>
  </si>
  <si>
    <t>1/21営業　三國さん請求</t>
    <phoneticPr fontId="39"/>
  </si>
  <si>
    <t>03-2509-020</t>
    <phoneticPr fontId="39"/>
  </si>
  <si>
    <t>カノープス姫路　軽量ドア修理工事</t>
    <phoneticPr fontId="39"/>
  </si>
  <si>
    <t>老人保健施設　カノープス姫路　宇野　様</t>
  </si>
  <si>
    <t>03-2509-021</t>
    <phoneticPr fontId="39"/>
  </si>
  <si>
    <t>小林電工㈱新社屋　3階洗濯機排水キャップ止め</t>
    <phoneticPr fontId="39"/>
  </si>
  <si>
    <t>小林電工株式会社　小川様</t>
  </si>
  <si>
    <t xml:space="preserve">姫路市東今宿3-10-17  </t>
  </si>
  <si>
    <t>小川　様</t>
  </si>
  <si>
    <t>03-2509-022</t>
    <phoneticPr fontId="39"/>
  </si>
  <si>
    <t>老人保健施設カノープス姫路　ボイラー室開放式膨張ﾀﾝｸﾎﾞｰﾙﾀｯﾌﾟ交換作業他</t>
    <phoneticPr fontId="39"/>
  </si>
  <si>
    <t>老人保健施設　カノープス姫路</t>
  </si>
  <si>
    <t xml:space="preserve">
特になし
</t>
    <phoneticPr fontId="39"/>
  </si>
  <si>
    <t>03-2512-006</t>
    <phoneticPr fontId="39"/>
  </si>
  <si>
    <t>白鳥保育園新築工事</t>
    <phoneticPr fontId="39"/>
  </si>
  <si>
    <t>社会福祉法人 白鳥会 理事長 西川 全彦</t>
    <phoneticPr fontId="39"/>
  </si>
  <si>
    <t>猪澤和喜</t>
  </si>
  <si>
    <t>03-2508-007</t>
    <phoneticPr fontId="39"/>
  </si>
  <si>
    <t>加茂病院3西病棟浴室他改修工事</t>
    <phoneticPr fontId="39"/>
  </si>
  <si>
    <t>医療法人尚正会　加茂病院　理事長　細見　和代　</t>
    <phoneticPr fontId="39"/>
  </si>
  <si>
    <t>2026/1/27、2026/2/5</t>
    <phoneticPr fontId="39"/>
  </si>
  <si>
    <t>削除</t>
    <rPh sb="0" eb="2">
      <t>サクジョ</t>
    </rPh>
    <phoneticPr fontId="39"/>
  </si>
  <si>
    <t>03-2509-023</t>
    <phoneticPr fontId="39"/>
  </si>
  <si>
    <t>東館6階浴室　給湯管漏水調査</t>
    <phoneticPr fontId="39"/>
  </si>
  <si>
    <t>医療法人仁寿会　石川病院　村田　様</t>
  </si>
  <si>
    <t>6/10請求新館１階待合ドレン漏水対応工事値引き分-￥6,600-(税込) 含む</t>
  </si>
  <si>
    <t>石川病院　東館</t>
    <phoneticPr fontId="39"/>
  </si>
  <si>
    <t>03-2513-022</t>
    <phoneticPr fontId="39"/>
  </si>
  <si>
    <t>加茂病院　6病棟アキュドア修理</t>
  </si>
  <si>
    <t>医療法人 尚生会 加茂病院</t>
  </si>
  <si>
    <t>03-2303-012</t>
    <phoneticPr fontId="39"/>
  </si>
  <si>
    <t>(仮称)日鉄テックスエンジ株式会社堺構内統合事務所新築工事内の建方追加工事</t>
    <rPh sb="29" eb="30">
      <t>ナイ</t>
    </rPh>
    <rPh sb="31" eb="32">
      <t>タ</t>
    </rPh>
    <rPh sb="32" eb="33">
      <t>カタ</t>
    </rPh>
    <rPh sb="33" eb="35">
      <t>ツイカ</t>
    </rPh>
    <rPh sb="35" eb="37">
      <t>コウジ</t>
    </rPh>
    <phoneticPr fontId="39"/>
  </si>
  <si>
    <t>NSハイパーツ㈱</t>
    <phoneticPr fontId="39"/>
  </si>
  <si>
    <t>追加工事の為保原さんで工事番号を取得</t>
  </si>
  <si>
    <t>Billoneで請求</t>
    <rPh sb="8" eb="10">
      <t>セイキュウ</t>
    </rPh>
    <phoneticPr fontId="39"/>
  </si>
  <si>
    <t>岐阜県可児市姫ヶ丘丁目35　中澤 様</t>
  </si>
  <si>
    <t>堺構内事務所統合工事現場</t>
  </si>
  <si>
    <t>2026.01.27　100％完了
Billoneで提出するため請求書のPDFデータを西川へ送付おねがいします</t>
    <phoneticPr fontId="39"/>
  </si>
  <si>
    <t>03-2509-024</t>
    <phoneticPr fontId="39"/>
  </si>
  <si>
    <t>医療法人　仁寿会石川病院　東館６階浴室　漏水修繕</t>
    <phoneticPr fontId="39"/>
  </si>
  <si>
    <t>03-2516-008</t>
  </si>
  <si>
    <t>播州調味料　加水分解第一倉庫R1号タンク等撤去工事</t>
    <phoneticPr fontId="39"/>
  </si>
  <si>
    <t>03-2303-012</t>
  </si>
  <si>
    <t>(仮称)日鉄テックスエンジ株式会社堺構内統合事務所新築工事内のスチールパネル破損工事</t>
    <phoneticPr fontId="39"/>
  </si>
  <si>
    <t>㈱紀洋</t>
  </si>
  <si>
    <t>株式会社 紀洋</t>
  </si>
  <si>
    <t>640-8425</t>
  </si>
  <si>
    <t>和歌山県和歌山市松江北7丁目6番5号</t>
  </si>
  <si>
    <t>堺構内統合事務所現場</t>
  </si>
  <si>
    <t>森部長</t>
  </si>
  <si>
    <t>1/29 100%請求</t>
  </si>
  <si>
    <t>03-2514-013</t>
  </si>
  <si>
    <t>福伸電機株式会社 清明寮1階SD扉防虫ブラシ取付工事</t>
  </si>
  <si>
    <t>福伸電機㈱ 南様</t>
  </si>
  <si>
    <r>
      <t xml:space="preserve">1/30 100％請求⇒　2/6　破棄
</t>
    </r>
    <r>
      <rPr>
        <b/>
        <sz val="12"/>
        <color rgb="FFFF0000"/>
        <rFont val="Meiryo UI"/>
        <family val="3"/>
        <charset val="128"/>
      </rPr>
      <t>実際の工事は2月の予定
削除になる場合もあり</t>
    </r>
    <rPh sb="17" eb="19">
      <t>ハキ</t>
    </rPh>
    <rPh sb="20" eb="22">
      <t>ジッサイ</t>
    </rPh>
    <rPh sb="23" eb="25">
      <t>コウジ</t>
    </rPh>
    <rPh sb="27" eb="28">
      <t>ガツ</t>
    </rPh>
    <rPh sb="29" eb="31">
      <t>ヨテイ</t>
    </rPh>
    <rPh sb="32" eb="34">
      <t>サクジョ</t>
    </rPh>
    <rPh sb="37" eb="39">
      <t>バアイ</t>
    </rPh>
    <phoneticPr fontId="39"/>
  </si>
  <si>
    <t>03-2503-015</t>
    <phoneticPr fontId="39"/>
  </si>
  <si>
    <t>大一倉庫㈱姫路東営業所　北宿倉庫 第6号倉庫新築工事</t>
    <phoneticPr fontId="39"/>
  </si>
  <si>
    <t>大一倉庫㈱</t>
  </si>
  <si>
    <t>2026/5</t>
    <phoneticPr fontId="39"/>
  </si>
  <si>
    <t>2026/10</t>
    <phoneticPr fontId="39"/>
  </si>
  <si>
    <t>４月ごろ</t>
    <rPh sb="1" eb="2">
      <t>ガツ</t>
    </rPh>
    <phoneticPr fontId="39"/>
  </si>
  <si>
    <t>※DigitalBillder　担当入江さんで登録
住所は未登録！</t>
    <rPh sb="16" eb="18">
      <t>タントウ</t>
    </rPh>
    <rPh sb="18" eb="20">
      <t>イリエ</t>
    </rPh>
    <rPh sb="23" eb="25">
      <t>トウロク</t>
    </rPh>
    <rPh sb="26" eb="28">
      <t>ジュウショ</t>
    </rPh>
    <rPh sb="29" eb="32">
      <t>ミトウロク</t>
    </rPh>
    <phoneticPr fontId="39"/>
  </si>
  <si>
    <t>03-2513-023</t>
    <phoneticPr fontId="39"/>
  </si>
  <si>
    <t>㈱IHI　旧中央ハウス前主幹道路側溝敷設工事</t>
    <phoneticPr fontId="39"/>
  </si>
  <si>
    <t>03-2523-003</t>
  </si>
  <si>
    <t>キングフーズ㈱2階投入場建具修復工事</t>
    <phoneticPr fontId="39"/>
  </si>
  <si>
    <t>03-2509-025</t>
    <phoneticPr fontId="39"/>
  </si>
  <si>
    <t>小林電工㈱新社屋　引込柱　点検口　扉に改造</t>
    <rPh sb="0" eb="4">
      <t>コバヤシデンコウ</t>
    </rPh>
    <phoneticPr fontId="39"/>
  </si>
  <si>
    <t>小林電工株式会社　</t>
  </si>
  <si>
    <t>和田部長　様</t>
  </si>
  <si>
    <t>03-2510-009</t>
    <phoneticPr fontId="39"/>
  </si>
  <si>
    <t>石川病院増築等工事　試掘作業</t>
    <phoneticPr fontId="39"/>
  </si>
  <si>
    <t>医療法人仁寿会石川病院</t>
  </si>
  <si>
    <t>三木　様</t>
  </si>
  <si>
    <t>03-2509-026</t>
    <phoneticPr fontId="39"/>
  </si>
  <si>
    <t>小林電工㈱新社屋　軒天修繕工事</t>
    <phoneticPr fontId="39"/>
  </si>
  <si>
    <t>2025/12/12　
小林電工　和田部長より工事実施、引継ぎの絡あり</t>
    <phoneticPr fontId="39"/>
  </si>
  <si>
    <t>03-2509-027</t>
    <phoneticPr fontId="39"/>
  </si>
  <si>
    <t>小林電工株式会社　本社３階床補修工事</t>
    <phoneticPr fontId="39"/>
  </si>
  <si>
    <t>小林会長　様</t>
  </si>
  <si>
    <t>03-2503-016</t>
    <phoneticPr fontId="39"/>
  </si>
  <si>
    <t>山本板金工業㈱ 本社社屋増築・改修工事</t>
    <phoneticPr fontId="39"/>
  </si>
  <si>
    <t xml:space="preserve">山本板金工業㈱ </t>
  </si>
  <si>
    <t>小野設計
Ⅰ期工事：3,000万円　改修　3/16～6/30
Ⅱ期工事：9,000万円　増築　5/1～10/31</t>
    <rPh sb="18" eb="20">
      <t>カイシュウ</t>
    </rPh>
    <rPh sb="44" eb="46">
      <t>ゾウチク</t>
    </rPh>
    <phoneticPr fontId="39"/>
  </si>
  <si>
    <t>03-2513-024</t>
    <phoneticPr fontId="39"/>
  </si>
  <si>
    <t>㈱IHI 日の浦6棟地盤調査R１(追加工事分)</t>
    <phoneticPr fontId="39"/>
  </si>
  <si>
    <t xml:space="preserve">㈱IHI </t>
  </si>
  <si>
    <t>03-2513-025</t>
    <phoneticPr fontId="39"/>
  </si>
  <si>
    <t>㈱IHI　桜ヶ丘７棟事務所２階改装工事</t>
    <rPh sb="17" eb="19">
      <t>コウジ</t>
    </rPh>
    <phoneticPr fontId="39"/>
  </si>
  <si>
    <t>03-2515-004</t>
    <phoneticPr fontId="39"/>
  </si>
  <si>
    <t>赤穂市新学校給食センター外部換気フード鳥除け</t>
    <phoneticPr fontId="39"/>
  </si>
  <si>
    <t>赤穂市新学校給食センター</t>
  </si>
  <si>
    <t>持参　※西川へ渡してください</t>
  </si>
  <si>
    <t>小林電工様に出入りの運送業者の物損修理です。</t>
  </si>
  <si>
    <t>小林電工株式会社　新社屋</t>
  </si>
  <si>
    <t>03-2503-011</t>
  </si>
  <si>
    <t>産業振興㈱北九州ヤード事務所新築工事（SH）　追加工事</t>
    <phoneticPr fontId="39"/>
  </si>
  <si>
    <t>産業振興㈱　</t>
    <phoneticPr fontId="39"/>
  </si>
  <si>
    <t>株式会社　弘一建設</t>
  </si>
  <si>
    <t>816-0813</t>
  </si>
  <si>
    <t>福岡県春日市惣利5丁目114番</t>
  </si>
  <si>
    <t>北九州市若松区響町1丁目105番35</t>
    <rPh sb="0" eb="1">
      <t>キタ</t>
    </rPh>
    <rPh sb="1" eb="3">
      <t>キュウシュウ</t>
    </rPh>
    <rPh sb="3" eb="4">
      <t>シ</t>
    </rPh>
    <rPh sb="4" eb="7">
      <t>ワカマツク</t>
    </rPh>
    <rPh sb="7" eb="8">
      <t>ヒビキ</t>
    </rPh>
    <rPh sb="8" eb="9">
      <t>チョウ</t>
    </rPh>
    <rPh sb="10" eb="12">
      <t>チョウメ</t>
    </rPh>
    <rPh sb="15" eb="16">
      <t>バン</t>
    </rPh>
    <phoneticPr fontId="39"/>
  </si>
  <si>
    <t>弘一建設 酒井専務</t>
  </si>
  <si>
    <t>03-2509-029</t>
    <phoneticPr fontId="39"/>
  </si>
  <si>
    <t>東館6階EV前漏水修理用点検口取付工事</t>
  </si>
  <si>
    <t>03-2516-009</t>
    <phoneticPr fontId="39"/>
  </si>
  <si>
    <t>播州調味料 アミノ酸工場側溝防水</t>
  </si>
  <si>
    <t>03-2509-030</t>
    <phoneticPr fontId="39"/>
  </si>
  <si>
    <t>小林電工　本社2階トイレ修理</t>
    <phoneticPr fontId="39"/>
  </si>
  <si>
    <t>03-2503-017</t>
    <phoneticPr fontId="39"/>
  </si>
  <si>
    <t>日鉄物流㈱瀬戸内支店 阪神地区（東予） 事務所建替工事</t>
  </si>
  <si>
    <t xml:space="preserve">日鉄物流㈱瀬戸内支店 </t>
  </si>
  <si>
    <t>DigitalBillderは高見常務・設計岸本君で仮登録
金額は概算金額！！</t>
    <rPh sb="15" eb="17">
      <t>タカミ</t>
    </rPh>
    <rPh sb="17" eb="19">
      <t>ジョウム</t>
    </rPh>
    <rPh sb="20" eb="22">
      <t>セッケイ</t>
    </rPh>
    <rPh sb="22" eb="24">
      <t>キシモト</t>
    </rPh>
    <rPh sb="24" eb="25">
      <t>クン</t>
    </rPh>
    <rPh sb="26" eb="29">
      <t>カリトウロク</t>
    </rPh>
    <rPh sb="30" eb="32">
      <t>キンガク</t>
    </rPh>
    <rPh sb="33" eb="37">
      <t>ガイサンキンガク</t>
    </rPh>
    <phoneticPr fontId="39"/>
  </si>
  <si>
    <t>03-2516-010</t>
    <phoneticPr fontId="39"/>
  </si>
  <si>
    <t>播州調味料 製品貯槽棟排水工事</t>
    <phoneticPr fontId="39"/>
  </si>
  <si>
    <t>03-2510-010</t>
  </si>
  <si>
    <t>山陽色素㈱SF4こうばALC開口設置他工事</t>
  </si>
  <si>
    <t>山陽色素㈱</t>
  </si>
  <si>
    <t>営業担当：赤路部長</t>
  </si>
  <si>
    <t>03-2514-014</t>
  </si>
  <si>
    <t>茨城那珂オフィス新築工事</t>
    <phoneticPr fontId="39"/>
  </si>
  <si>
    <t>岐阜県可児市姫ヶ丘丁目35　鈴村様</t>
  </si>
  <si>
    <t>NSハイパーツ株式会社　中澤様</t>
  </si>
  <si>
    <t>パネル製作費請求100％完了</t>
  </si>
  <si>
    <t>03-2514-015</t>
  </si>
  <si>
    <t>(仮称)和歌山労働組合会館事務所新築工事</t>
  </si>
  <si>
    <t>03-2509-031</t>
    <phoneticPr fontId="39"/>
  </si>
  <si>
    <t>原田工業株式会社　漏水部　幕板補修</t>
    <phoneticPr fontId="39"/>
  </si>
  <si>
    <t>原田工業株式会社</t>
  </si>
  <si>
    <t>672-8043</t>
  </si>
  <si>
    <t>姫路市飾磨区上野田3-25</t>
  </si>
  <si>
    <t>八十　様</t>
  </si>
  <si>
    <t>工事写真　同封お願いします。</t>
  </si>
  <si>
    <t>03-2509-032</t>
    <phoneticPr fontId="39"/>
  </si>
  <si>
    <t>洋風大便器　パッキン取替工事</t>
    <phoneticPr fontId="39"/>
  </si>
  <si>
    <t>社会福祉法人八葉福祉会　やぐら保育園</t>
    <phoneticPr fontId="39"/>
  </si>
  <si>
    <t>社会福祉法人　八葉福祉会　やぐら保育園</t>
  </si>
  <si>
    <t>672-8079</t>
  </si>
  <si>
    <t>姫路市飾磨区英賀保駅前町82-6</t>
  </si>
  <si>
    <t>営業ヨリ　持参し集金お願いします。</t>
  </si>
  <si>
    <t>03-2503-018</t>
  </si>
  <si>
    <t>(仮称)sala双樹project</t>
  </si>
  <si>
    <t>ASK　PLANNING株式会社</t>
    <phoneticPr fontId="39"/>
  </si>
  <si>
    <t>日付無</t>
    <phoneticPr fontId="39"/>
  </si>
  <si>
    <t>03-2513-026</t>
  </si>
  <si>
    <t>加茂病院新本館フロン漏洩点検作業</t>
  </si>
  <si>
    <t>03-2513-027</t>
  </si>
  <si>
    <t>加茂病院　厨房送風機更新工事</t>
  </si>
  <si>
    <t>03-2513-028</t>
  </si>
  <si>
    <t>加茂病院　6病棟　空調点検</t>
  </si>
  <si>
    <t>03-2509-033</t>
    <phoneticPr fontId="39"/>
  </si>
  <si>
    <t>小林電工㈱　３階会議室　空調吹き出し口追加工事</t>
    <phoneticPr fontId="39"/>
  </si>
  <si>
    <t>姫路市東今宿3-10-17　</t>
  </si>
  <si>
    <t>和田部長</t>
  </si>
  <si>
    <t>03-2513-029</t>
  </si>
  <si>
    <t>ニッケあすも加古川119号室補修工事</t>
    <phoneticPr fontId="39"/>
  </si>
  <si>
    <t>ニッケあすも加古川119号室　西嶋澄子様</t>
  </si>
  <si>
    <t>振込があった際は(西嶋澄子様宛)領収書の郵送をお願いします。</t>
    <rPh sb="0" eb="2">
      <t>フリコミ</t>
    </rPh>
    <rPh sb="6" eb="7">
      <t>サイ</t>
    </rPh>
    <rPh sb="9" eb="11">
      <t>ニシジマ</t>
    </rPh>
    <rPh sb="11" eb="13">
      <t>スミコ</t>
    </rPh>
    <rPh sb="13" eb="15">
      <t>サマアテ</t>
    </rPh>
    <rPh sb="16" eb="19">
      <t>リョウシュウショ</t>
    </rPh>
    <rPh sb="20" eb="22">
      <t>ユウソウ</t>
    </rPh>
    <rPh sb="24" eb="25">
      <t>ネガ</t>
    </rPh>
    <phoneticPr fontId="39"/>
  </si>
  <si>
    <t>03-2508-008</t>
  </si>
  <si>
    <t>相生地域エネルギーセンター建設工事</t>
  </si>
  <si>
    <t>確認中</t>
  </si>
  <si>
    <t>03-2513-030</t>
    <phoneticPr fontId="39"/>
  </si>
  <si>
    <t>加茂病院　6病棟錠前交換工事</t>
    <phoneticPr fontId="39"/>
  </si>
  <si>
    <t>03-2610-001</t>
    <phoneticPr fontId="39"/>
  </si>
  <si>
    <t>東芝エレベータ㈱姫路工場　部品センター改修工事【2期工事】</t>
  </si>
  <si>
    <t>東芝エレベーター株式会社</t>
  </si>
  <si>
    <t>03-2515-005</t>
    <phoneticPr fontId="39"/>
  </si>
  <si>
    <t>日本毛織㈱印南工場NKS第二組立工場　土間補修工事</t>
    <phoneticPr fontId="39"/>
  </si>
  <si>
    <t>ニッケみらい建設㈱</t>
    <phoneticPr fontId="39"/>
  </si>
  <si>
    <t>03-2509-034</t>
    <phoneticPr fontId="39"/>
  </si>
  <si>
    <t>カノープス姫路　アコーディオンカーテン取替　(２階)</t>
    <phoneticPr fontId="39"/>
  </si>
  <si>
    <t>03-2513-031</t>
    <phoneticPr fontId="39"/>
  </si>
  <si>
    <t>ニッケあすも加古川120号室補修工事</t>
    <phoneticPr fontId="39"/>
  </si>
  <si>
    <t>ニッケあすも加古川120号室 柴田　米蔵　様</t>
  </si>
  <si>
    <t>入金の確認後領収書の送付</t>
  </si>
  <si>
    <t>03-2509-035</t>
  </si>
  <si>
    <t>カノープス姫路　点検口取付</t>
  </si>
  <si>
    <t>【テスト】西川絵里</t>
  </si>
  <si>
    <t>★★テスト</t>
  </si>
  <si>
    <t>手渡し　西川へ</t>
  </si>
  <si>
    <t>見積書,納品書,領収書</t>
  </si>
  <si>
    <t>テストテスト</t>
  </si>
  <si>
    <t xml:space="preserve">なし_x000D_
</t>
  </si>
  <si>
    <t>03-2550-002</t>
  </si>
  <si>
    <t>★★20260318</t>
  </si>
  <si>
    <t>ｓｓｓｓｓ</t>
  </si>
  <si>
    <t>ｓｓｓｓｓｓ</t>
  </si>
  <si>
    <t>畑田洋樹</t>
    <rPh sb="0" eb="2">
      <t>ハタダ</t>
    </rPh>
    <rPh sb="2" eb="4">
      <t>ヒロキ</t>
    </rPh>
    <phoneticPr fontId="58"/>
  </si>
  <si>
    <t>赤穂市</t>
    <rPh sb="0" eb="3">
      <t>アコウシ</t>
    </rPh>
    <phoneticPr fontId="59"/>
  </si>
  <si>
    <t>保原詠史</t>
    <phoneticPr fontId="58"/>
  </si>
  <si>
    <t>キングフーズ 株式会社</t>
    <phoneticPr fontId="39"/>
  </si>
  <si>
    <t>676-0008</t>
    <phoneticPr fontId="39"/>
  </si>
  <si>
    <t>兵庫県高砂市荒井町新浜2-12-1　管理部 川内様</t>
    <phoneticPr fontId="39"/>
  </si>
  <si>
    <t>製造部 水野係長</t>
    <phoneticPr fontId="39"/>
  </si>
  <si>
    <t>テスト</t>
  </si>
  <si>
    <t>阿比野建設</t>
  </si>
  <si>
    <t>㈱ニッケ・ケアサービス　ニッケあすも加古川 　テスト様</t>
  </si>
  <si>
    <t>速達</t>
  </si>
  <si>
    <t>【テスト】西川絵里</t>
    <phoneticPr fontId="5"/>
  </si>
  <si>
    <t>【テスト】西川絵里</t>
    <phoneticPr fontId="39"/>
  </si>
  <si>
    <t>工事番号</t>
    <rPh sb="0" eb="4">
      <t>コウジバンゴウ</t>
    </rPh>
    <phoneticPr fontId="5"/>
  </si>
  <si>
    <t>請求書作成日</t>
    <rPh sb="0" eb="3">
      <t>セイキュウショ</t>
    </rPh>
    <rPh sb="3" eb="6">
      <t>サクセイビ</t>
    </rPh>
    <phoneticPr fontId="5"/>
  </si>
  <si>
    <t>着手</t>
    <phoneticPr fontId="5"/>
  </si>
  <si>
    <t>仕様</t>
  </si>
  <si>
    <t>引き渡し日</t>
    <phoneticPr fontId="5"/>
  </si>
  <si>
    <t>着手・完成</t>
    <rPh sb="0" eb="2">
      <t>チャクシュ</t>
    </rPh>
    <rPh sb="3" eb="5">
      <t>カンセイ</t>
    </rPh>
    <phoneticPr fontId="5"/>
  </si>
  <si>
    <t>担当者・提出依頼者</t>
    <rPh sb="0" eb="3">
      <t>タントウシャ</t>
    </rPh>
    <rPh sb="4" eb="6">
      <t>テイシュツ</t>
    </rPh>
    <rPh sb="6" eb="9">
      <t>イライシャ</t>
    </rPh>
    <phoneticPr fontId="5"/>
  </si>
  <si>
    <t>部署</t>
    <rPh sb="0" eb="2">
      <t>ブショ</t>
    </rPh>
    <phoneticPr fontId="5"/>
  </si>
  <si>
    <t>依頼者</t>
    <rPh sb="0" eb="3">
      <t>イライシャ</t>
    </rPh>
    <phoneticPr fontId="5"/>
  </si>
  <si>
    <t>引き渡し確認者</t>
    <rPh sb="0" eb="1">
      <t>ヒ</t>
    </rPh>
    <rPh sb="2" eb="3">
      <t>ワタ</t>
    </rPh>
    <rPh sb="4" eb="6">
      <t>カクニン</t>
    </rPh>
    <rPh sb="6" eb="7">
      <t>シャ</t>
    </rPh>
    <phoneticPr fontId="5"/>
  </si>
  <si>
    <t>部長</t>
    <rPh sb="0" eb="2">
      <t>ブチョウ</t>
    </rPh>
    <phoneticPr fontId="5"/>
  </si>
  <si>
    <t>経理</t>
    <rPh sb="0" eb="2">
      <t>ケイリ</t>
    </rPh>
    <phoneticPr fontId="5"/>
  </si>
  <si>
    <t>依頼者</t>
    <rPh sb="0" eb="2">
      <t>イライ</t>
    </rPh>
    <rPh sb="2" eb="3">
      <t>シャ</t>
    </rPh>
    <phoneticPr fontId="5"/>
  </si>
  <si>
    <t>引き渡し確認者</t>
    <rPh sb="4" eb="7">
      <t>カクニンシャ</t>
    </rPh>
    <phoneticPr fontId="5"/>
  </si>
  <si>
    <t>下記の通り請求書の提出を願います。　</t>
    <rPh sb="0" eb="2">
      <t>カキ</t>
    </rPh>
    <phoneticPr fontId="5"/>
  </si>
  <si>
    <t>承認日時</t>
    <rPh sb="0" eb="2">
      <t>ショウニン</t>
    </rPh>
    <rPh sb="2" eb="4">
      <t>ニチジ</t>
    </rPh>
    <phoneticPr fontId="5"/>
  </si>
  <si>
    <t>保護をかける</t>
    <rPh sb="0" eb="2">
      <t>ホゴ</t>
    </rPh>
    <phoneticPr fontId="5"/>
  </si>
  <si>
    <t>ログ</t>
    <phoneticPr fontId="5"/>
  </si>
  <si>
    <t>下記の通り請求書の提出を願います。　←いる？</t>
    <rPh sb="0" eb="2">
      <t>カキ</t>
    </rPh>
    <phoneticPr fontId="5"/>
  </si>
  <si>
    <t>金額</t>
    <phoneticPr fontId="5"/>
  </si>
  <si>
    <t>完成</t>
    <rPh sb="0" eb="2">
      <t>カンセイ</t>
    </rPh>
    <phoneticPr fontId="5"/>
  </si>
  <si>
    <t>請求書に記載する日付</t>
    <rPh sb="4" eb="6">
      <t>キサイ</t>
    </rPh>
    <phoneticPr fontId="5"/>
  </si>
  <si>
    <t>氏名</t>
    <rPh sb="0" eb="2">
      <t>シメイ</t>
    </rPh>
    <phoneticPr fontId="5"/>
  </si>
  <si>
    <t>請求書に記載する宛名
(正式名称)</t>
    <rPh sb="2" eb="3">
      <t>ショ</t>
    </rPh>
    <rPh sb="4" eb="6">
      <t>キサイ</t>
    </rPh>
    <phoneticPr fontId="5"/>
  </si>
  <si>
    <t>着手</t>
    <rPh sb="0" eb="2">
      <t>チャクシュ</t>
    </rPh>
    <phoneticPr fontId="5"/>
  </si>
  <si>
    <t>担当者</t>
    <rPh sb="0" eb="3">
      <t>タントウシャ</t>
    </rPh>
    <phoneticPr fontId="5"/>
  </si>
  <si>
    <t>ニッケみらい建設㈱</t>
  </si>
  <si>
    <t>675-0039</t>
  </si>
  <si>
    <t>兵庫県加古川市加古川町栗津249-1　太陽ビル　2F</t>
  </si>
  <si>
    <t>ニッケ印南工場</t>
  </si>
  <si>
    <t>橋本様</t>
  </si>
  <si>
    <t>請求書郵送日を5/29にお願いします。</t>
  </si>
  <si>
    <t>速達</t>
    <phoneticPr fontId="39"/>
  </si>
  <si>
    <t>㈱ニッケ・ケアサービス　ニッケあすも加古川 　テスト様</t>
    <phoneticPr fontId="39"/>
  </si>
  <si>
    <t>テスト</t>
    <phoneticPr fontId="39"/>
  </si>
  <si>
    <t>kkkkkk</t>
  </si>
  <si>
    <t>kkkkk</t>
  </si>
  <si>
    <t>依頼書NO.</t>
    <rPh sb="0" eb="3">
      <t>イライショ</t>
    </rPh>
    <phoneticPr fontId="5"/>
  </si>
  <si>
    <t>（ 内消費税　　￥0 ）</t>
    <phoneticPr fontId="5"/>
  </si>
  <si>
    <t>03-2513-032</t>
  </si>
  <si>
    <t>6病棟　鍵交換工事</t>
  </si>
  <si>
    <t>03-2550-003</t>
  </si>
  <si>
    <t>ＫＫＫＫＫＫＫＫＫＫＫＫＫＫＫＫＫＫＫＫＫＫＫＫＫＫＫＫＫＫ</t>
  </si>
  <si>
    <t>ＫＫＫＫＫＫ</t>
  </si>
  <si>
    <t>ニッケあすも加古川　220号室　水田泰子</t>
  </si>
  <si>
    <t>ニッケあすも加古川　220号室　水田泰子</t>
    <phoneticPr fontId="5"/>
  </si>
  <si>
    <t>kkkkkk</t>
    <phoneticPr fontId="5"/>
  </si>
  <si>
    <t>03-2550-002</t>
    <phoneticPr fontId="5"/>
  </si>
  <si>
    <t>普通郵便</t>
  </si>
  <si>
    <t>ｄｄｄｄｄｄｄｄｄｄｄｄｄｄ</t>
    <phoneticPr fontId="5"/>
  </si>
  <si>
    <t>ｓｓｓｓｓｓｓｓｓｓｓｓｓｓｓｓｓ</t>
  </si>
  <si>
    <t>敷</t>
  </si>
  <si>
    <t>ｓｓｓｓｓｓｓｓｓｓｓｓｓｓｓｓｓｓｓｓｓｓｓ</t>
  </si>
  <si>
    <t>箇所</t>
  </si>
  <si>
    <t>ｄｄｄｄｄｄｄｄｄｄｄｄｄｄｄｄｄ</t>
  </si>
  <si>
    <t>ｄｄｄｄｄｄｄｄｄｄｄｄｄｄｄ</t>
  </si>
  <si>
    <t>普通郵便</t>
    <phoneticPr fontId="39"/>
  </si>
  <si>
    <t>工事写真</t>
    <phoneticPr fontId="39"/>
  </si>
  <si>
    <t>テスト03-2503-002　日鉄建材㈱広畑製造所　事務所増築工事</t>
  </si>
  <si>
    <t>ええええええええええええええええええええええええええええええええええええええええええええええええええええええええええええええええ</t>
  </si>
  <si>
    <t>請求金額(税込)</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</si>
</sst>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quot;¥&quot;#,##0_);[Red]\(&quot;¥&quot;#,##0\)"/>
    <numFmt numFmtId="177" formatCode="yyyy/mm/dd;@"/>
    <numFmt numFmtId="178" formatCode="yy/mm/dd;@"/>
    <numFmt numFmtId="179" formatCode="0.0"/>
    <numFmt numFmtId="180" formatCode="yyyy/mm/dd"/>
    <numFmt numFmtId="181" formatCode="0_);[Red]\(0\)"/>
    <numFmt numFmtId="182" formatCode="[$-F800]dddd\,\ mmmm\ dd\,\ yyyy"/>
    <numFmt numFmtId="183" formatCode="yyyy&quot;年&quot;m&quot;月&quot;d&quot;日&quot;;@"/>
    <numFmt numFmtId="184" formatCode="#,##0_ "/>
  </numFmts>
  <fonts count="83">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10"/>
      <name val="HGSｺﾞｼｯｸM"/>
      <family val="3"/>
      <charset val="128"/>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indexed="8"/>
      <name val="ＭＳ Ｐゴシック"/>
      <family val="3"/>
      <charset val="128"/>
    </font>
    <font>
      <sz val="12"/>
      <name val="Meiryo UI"/>
      <family val="3"/>
      <charset val="128"/>
    </font>
    <font>
      <sz val="11"/>
      <name val="ＭＳ ゴシック"/>
      <family val="3"/>
      <charset val="128"/>
    </font>
    <font>
      <sz val="10"/>
      <name val="Meiryo UI"/>
      <family val="3"/>
      <charset val="128"/>
    </font>
    <font>
      <sz val="14"/>
      <name val="Meiryo UI"/>
      <family val="3"/>
      <charset val="128"/>
    </font>
    <font>
      <sz val="6"/>
      <name val="ＭＳ ゴシック"/>
      <family val="3"/>
      <charset val="128"/>
    </font>
    <font>
      <sz val="11"/>
      <name val="Meiryo UI"/>
      <family val="3"/>
      <charset val="128"/>
    </font>
    <font>
      <sz val="18"/>
      <name val="Meiryo UI"/>
      <family val="3"/>
      <charset val="128"/>
    </font>
    <font>
      <sz val="16"/>
      <name val="Meiryo UI"/>
      <family val="3"/>
      <charset val="128"/>
    </font>
    <font>
      <b/>
      <sz val="10"/>
      <name val="ＭＳ Ｐゴシック"/>
      <family val="3"/>
      <charset val="128"/>
    </font>
    <font>
      <sz val="9"/>
      <color indexed="81"/>
      <name val="MS P ゴシック"/>
      <family val="3"/>
      <charset val="128"/>
    </font>
    <font>
      <b/>
      <sz val="10"/>
      <color theme="0" tint="-0.34998626667073579"/>
      <name val="ＭＳ Ｐゴシック"/>
      <family val="3"/>
      <charset val="128"/>
    </font>
    <font>
      <sz val="10"/>
      <color theme="0" tint="-0.34998626667073579"/>
      <name val="ＭＳ Ｐゴシック"/>
      <family val="3"/>
      <charset val="128"/>
    </font>
    <font>
      <sz val="12"/>
      <color theme="1"/>
      <name val="Meiryo UI"/>
      <family val="3"/>
      <charset val="128"/>
    </font>
    <font>
      <b/>
      <sz val="12"/>
      <color theme="1"/>
      <name val="Meiryo UI"/>
      <family val="3"/>
      <charset val="128"/>
    </font>
    <font>
      <b/>
      <sz val="12"/>
      <color rgb="FF000000"/>
      <name val="Meiryo UI"/>
      <family val="3"/>
      <charset val="128"/>
    </font>
    <font>
      <sz val="6"/>
      <name val="ＭＳ ゴシック"/>
      <family val="2"/>
      <charset val="128"/>
    </font>
    <font>
      <sz val="12"/>
      <color rgb="FF0070C0"/>
      <name val="Meiryo UI"/>
      <family val="3"/>
      <charset val="128"/>
    </font>
    <font>
      <b/>
      <sz val="12"/>
      <color rgb="FFFF0000"/>
      <name val="Meiryo UI"/>
      <family val="3"/>
      <charset val="128"/>
    </font>
    <font>
      <b/>
      <sz val="12"/>
      <color theme="1"/>
      <name val="ＭＳ ゴシック"/>
      <family val="3"/>
      <charset val="128"/>
    </font>
    <font>
      <sz val="11"/>
      <color theme="1"/>
      <name val="ＭＳ Ｐゴシック"/>
      <family val="2"/>
      <scheme val="minor"/>
    </font>
    <font>
      <b/>
      <sz val="20"/>
      <name val="游ゴシック"/>
      <family val="3"/>
      <charset val="128"/>
    </font>
    <font>
      <b/>
      <sz val="11"/>
      <name val="游ゴシック"/>
      <family val="3"/>
      <charset val="128"/>
    </font>
    <font>
      <b/>
      <sz val="14"/>
      <name val="游ゴシック"/>
      <family val="3"/>
      <charset val="128"/>
    </font>
    <font>
      <sz val="12"/>
      <name val="游ゴシック"/>
      <family val="3"/>
      <charset val="128"/>
    </font>
    <font>
      <b/>
      <sz val="12"/>
      <name val="游ゴシック"/>
      <family val="3"/>
      <charset val="128"/>
    </font>
    <font>
      <b/>
      <sz val="18"/>
      <name val="游ゴシック"/>
      <family val="3"/>
      <charset val="128"/>
    </font>
    <font>
      <sz val="10"/>
      <color rgb="FF666666"/>
      <name val="游ゴシック"/>
      <family val="3"/>
      <charset val="128"/>
    </font>
    <font>
      <b/>
      <sz val="10"/>
      <color rgb="FF444444"/>
      <name val="游ゴシック"/>
      <family val="3"/>
      <charset val="128"/>
    </font>
    <font>
      <b/>
      <sz val="10"/>
      <color rgb="FF333333"/>
      <name val="游ゴシック"/>
      <family val="3"/>
      <charset val="128"/>
    </font>
    <font>
      <sz val="11"/>
      <name val="游ゴシック"/>
      <family val="3"/>
      <charset val="128"/>
    </font>
    <font>
      <sz val="10"/>
      <color rgb="FF555555"/>
      <name val="游ゴシック"/>
      <family val="3"/>
      <charset val="128"/>
    </font>
    <font>
      <sz val="9"/>
      <color theme="1"/>
      <name val="游ゴシック"/>
      <family val="3"/>
      <charset val="128"/>
    </font>
    <font>
      <b/>
      <sz val="12"/>
      <color rgb="FF0070C0"/>
      <name val="Meiryo UI"/>
      <family val="3"/>
      <charset val="128"/>
    </font>
    <font>
      <b/>
      <sz val="11"/>
      <color rgb="FF0070C0"/>
      <name val="Meiryo UI"/>
      <family val="3"/>
      <charset val="128"/>
    </font>
    <font>
      <sz val="11"/>
      <color rgb="FF000000"/>
      <name val="游ゴシック"/>
      <family val="2"/>
      <charset val="128"/>
    </font>
    <font>
      <sz val="11"/>
      <color rgb="FF006100"/>
      <name val="游ゴシック"/>
      <family val="2"/>
      <charset val="128"/>
    </font>
    <font>
      <b/>
      <sz val="12"/>
      <color rgb="FF000000"/>
      <name val="ＭＳ ゴシック"/>
      <family val="3"/>
      <charset val="128"/>
    </font>
    <font>
      <sz val="10"/>
      <name val="MS UI Gothic"/>
      <family val="3"/>
      <charset val="128"/>
    </font>
    <font>
      <b/>
      <sz val="20"/>
      <name val="MS UI Gothic"/>
      <family val="3"/>
      <charset val="128"/>
    </font>
    <font>
      <sz val="11"/>
      <color theme="1"/>
      <name val="MS UI Gothic"/>
      <family val="3"/>
      <charset val="128"/>
    </font>
    <font>
      <b/>
      <sz val="11"/>
      <name val="MS UI Gothic"/>
      <family val="3"/>
      <charset val="128"/>
    </font>
    <font>
      <sz val="12"/>
      <name val="MS UI Gothic"/>
      <family val="3"/>
      <charset val="128"/>
    </font>
    <font>
      <b/>
      <sz val="10"/>
      <color rgb="FF444444"/>
      <name val="MS UI Gothic"/>
      <family val="3"/>
      <charset val="128"/>
    </font>
    <font>
      <sz val="11"/>
      <name val="MS UI Gothic"/>
      <family val="3"/>
      <charset val="128"/>
    </font>
    <font>
      <sz val="10"/>
      <color rgb="FF555555"/>
      <name val="MS UI Gothic"/>
      <family val="3"/>
      <charset val="128"/>
    </font>
    <font>
      <b/>
      <sz val="11"/>
      <color theme="1"/>
      <name val="MS UI Gothic"/>
      <family val="3"/>
      <charset val="128"/>
    </font>
    <font>
      <b/>
      <sz val="10"/>
      <name val="MS UI Gothic"/>
      <family val="3"/>
      <charset val="128"/>
    </font>
    <font>
      <b/>
      <sz val="11"/>
      <color rgb="FF444444"/>
      <name val="MS UI Gothic"/>
      <family val="3"/>
      <charset val="128"/>
    </font>
    <font>
      <b/>
      <sz val="11"/>
      <color rgb="FF333333"/>
      <name val="MS UI Gothic"/>
      <family val="3"/>
      <charset val="128"/>
    </font>
    <font>
      <b/>
      <sz val="20"/>
      <color rgb="FFFF0000"/>
      <name val="MS UI Gothic"/>
      <family val="3"/>
      <charset val="128"/>
    </font>
    <font>
      <b/>
      <sz val="10"/>
      <color rgb="FF333333"/>
      <name val="MS UI Gothic"/>
      <family val="3"/>
      <charset val="128"/>
    </font>
    <font>
      <b/>
      <sz val="10"/>
      <color theme="1"/>
      <name val="MS UI Gothic"/>
      <family val="3"/>
      <charset val="128"/>
    </font>
    <font>
      <b/>
      <sz val="8"/>
      <color rgb="FF333333"/>
      <name val="MS UI Gothic"/>
      <family val="3"/>
      <charset val="128"/>
    </font>
    <font>
      <b/>
      <sz val="12"/>
      <color theme="1"/>
      <name val="MS UI Gothic"/>
      <family val="3"/>
      <charset val="128"/>
    </font>
    <font>
      <b/>
      <sz val="10"/>
      <color rgb="FF555555"/>
      <name val="MS UI Gothic"/>
      <family val="3"/>
      <charset val="128"/>
    </font>
    <font>
      <b/>
      <sz val="12"/>
      <name val="MS UI Gothic"/>
      <family val="3"/>
      <charset val="128"/>
    </font>
    <font>
      <b/>
      <sz val="14"/>
      <name val="MS UI Gothic"/>
      <family val="3"/>
      <charset val="128"/>
    </font>
    <font>
      <b/>
      <sz val="16"/>
      <name val="MS UI Gothic"/>
      <family val="3"/>
      <charset val="128"/>
    </font>
    <font>
      <b/>
      <sz val="9"/>
      <color theme="1"/>
      <name val="MS UI Gothic"/>
      <family val="3"/>
      <charset val="128"/>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DCDCDC"/>
        <bgColor indexed="64"/>
      </patternFill>
    </fill>
    <fill>
      <patternFill patternType="solid">
        <fgColor theme="1" tint="0.499984740745262"/>
        <bgColor indexed="64"/>
      </patternFill>
    </fill>
    <fill>
      <patternFill patternType="solid">
        <fgColor rgb="FFFFFF00"/>
        <bgColor indexed="64"/>
      </patternFill>
    </fill>
    <fill>
      <patternFill patternType="solid">
        <fgColor theme="5" tint="0.59999389629810485"/>
        <bgColor indexed="64"/>
      </patternFill>
    </fill>
    <fill>
      <patternFill patternType="solid">
        <fgColor rgb="FFFFF2CC"/>
        <bgColor rgb="FFFFF2CC"/>
      </patternFill>
    </fill>
    <fill>
      <patternFill patternType="solid">
        <fgColor rgb="FFD6DCE4"/>
        <bgColor rgb="FFD6DCE4"/>
      </patternFill>
    </fill>
    <fill>
      <patternFill patternType="solid">
        <fgColor rgb="FFF5F7FA"/>
        <bgColor rgb="FFF5F7FA"/>
      </patternFill>
    </fill>
    <fill>
      <patternFill patternType="solid">
        <fgColor theme="2" tint="-0.499984740745262"/>
        <bgColor indexed="64"/>
      </patternFill>
    </fill>
    <fill>
      <patternFill patternType="solid">
        <fgColor rgb="FFD0D0D0"/>
        <bgColor rgb="FF000000"/>
      </patternFill>
    </fill>
    <fill>
      <patternFill patternType="solid">
        <fgColor rgb="FFDCDCDC"/>
        <bgColor rgb="FF000000"/>
      </patternFill>
    </fill>
    <fill>
      <patternFill patternType="solid">
        <fgColor rgb="FFE8E8E8"/>
        <bgColor rgb="FF000000"/>
      </patternFill>
    </fill>
    <fill>
      <patternFill patternType="solid">
        <fgColor rgb="FFFFFF00"/>
        <bgColor rgb="FF000000"/>
      </patternFill>
    </fill>
    <fill>
      <patternFill patternType="solid">
        <fgColor theme="2" tint="-0.249977111117893"/>
        <bgColor indexed="64"/>
      </patternFill>
    </fill>
    <fill>
      <patternFill patternType="solid">
        <fgColor theme="4" tint="0.79998168889431442"/>
        <bgColor indexed="64"/>
      </patternFill>
    </fill>
    <fill>
      <patternFill patternType="solid">
        <fgColor theme="4" tint="0.79998168889431442"/>
        <bgColor rgb="FFF5F7FA"/>
      </patternFill>
    </fill>
    <fill>
      <patternFill patternType="solid">
        <fgColor theme="4" tint="0.39997558519241921"/>
        <bgColor rgb="FFD6DCE4"/>
      </patternFill>
    </fill>
    <fill>
      <patternFill patternType="solid">
        <fgColor theme="4" tint="0.39997558519241921"/>
        <bgColor indexed="64"/>
      </patternFill>
    </fill>
  </fills>
  <borders count="9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dashed">
        <color indexed="64"/>
      </right>
      <top style="thin">
        <color indexed="64"/>
      </top>
      <bottom style="dotted">
        <color indexed="64"/>
      </bottom>
      <diagonal/>
    </border>
    <border>
      <left style="dashed">
        <color indexed="64"/>
      </left>
      <right/>
      <top/>
      <bottom style="dotted">
        <color indexed="64"/>
      </bottom>
      <diagonal/>
    </border>
    <border>
      <left/>
      <right style="dashed">
        <color indexed="64"/>
      </right>
      <top/>
      <bottom style="dotted">
        <color indexed="64"/>
      </bottom>
      <diagonal/>
    </border>
    <border>
      <left style="dashed">
        <color indexed="64"/>
      </left>
      <right style="dashed">
        <color indexed="64"/>
      </right>
      <top/>
      <bottom style="dotted">
        <color indexed="64"/>
      </bottom>
      <diagonal/>
    </border>
    <border>
      <left style="dashed">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ashed">
        <color indexed="64"/>
      </right>
      <top style="dotted">
        <color indexed="64"/>
      </top>
      <bottom style="dotted">
        <color indexed="64"/>
      </bottom>
      <diagonal/>
    </border>
    <border>
      <left style="dashed">
        <color indexed="64"/>
      </left>
      <right/>
      <top style="dotted">
        <color indexed="64"/>
      </top>
      <bottom style="dotted">
        <color indexed="64"/>
      </bottom>
      <diagonal/>
    </border>
    <border>
      <left style="dashed">
        <color indexed="64"/>
      </left>
      <right style="dashed">
        <color indexed="64"/>
      </right>
      <top style="dotted">
        <color indexed="64"/>
      </top>
      <bottom style="dotted">
        <color indexed="64"/>
      </bottom>
      <diagonal/>
    </border>
    <border>
      <left/>
      <right style="dashed">
        <color indexed="64"/>
      </right>
      <top style="dotted">
        <color indexed="64"/>
      </top>
      <bottom style="thin">
        <color indexed="64"/>
      </bottom>
      <diagonal/>
    </border>
    <border>
      <left style="dashed">
        <color indexed="64"/>
      </left>
      <right/>
      <top style="dotted">
        <color indexed="64"/>
      </top>
      <bottom style="thin">
        <color indexed="64"/>
      </bottom>
      <diagonal/>
    </border>
    <border>
      <left style="dashed">
        <color indexed="64"/>
      </left>
      <right style="dashed">
        <color indexed="64"/>
      </right>
      <top style="dotted">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right/>
      <top/>
      <bottom style="hair">
        <color auto="1"/>
      </bottom>
      <diagonal/>
    </border>
    <border>
      <left style="medium">
        <color auto="1"/>
      </left>
      <right style="thin">
        <color auto="1"/>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auto="1"/>
      </right>
      <top style="thin">
        <color auto="1"/>
      </top>
      <bottom style="medium">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right style="medium">
        <color auto="1"/>
      </right>
      <top style="hair">
        <color auto="1"/>
      </top>
      <bottom style="hair">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auto="1"/>
      </right>
      <top/>
      <bottom style="medium">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FF0000"/>
      </left>
      <right style="thin">
        <color auto="1"/>
      </right>
      <top style="thick">
        <color rgb="FFFF0000"/>
      </top>
      <bottom style="thin">
        <color auto="1"/>
      </bottom>
      <diagonal/>
    </border>
    <border>
      <left style="thin">
        <color indexed="64"/>
      </left>
      <right style="thin">
        <color indexed="64"/>
      </right>
      <top style="thick">
        <color rgb="FFFF0000"/>
      </top>
      <bottom style="thin">
        <color indexed="64"/>
      </bottom>
      <diagonal/>
    </border>
    <border>
      <left style="thin">
        <color auto="1"/>
      </left>
      <right/>
      <top style="thick">
        <color rgb="FFFF0000"/>
      </top>
      <bottom style="thin">
        <color auto="1"/>
      </bottom>
      <diagonal/>
    </border>
    <border>
      <left/>
      <right/>
      <top style="thick">
        <color rgb="FFFF0000"/>
      </top>
      <bottom style="thin">
        <color auto="1"/>
      </bottom>
      <diagonal/>
    </border>
    <border>
      <left/>
      <right style="thin">
        <color auto="1"/>
      </right>
      <top style="thick">
        <color rgb="FFFF0000"/>
      </top>
      <bottom style="thin">
        <color auto="1"/>
      </bottom>
      <diagonal/>
    </border>
    <border>
      <left/>
      <right style="thick">
        <color rgb="FFFF0000"/>
      </right>
      <top style="thick">
        <color rgb="FFFF0000"/>
      </top>
      <bottom style="thin">
        <color auto="1"/>
      </bottom>
      <diagonal/>
    </border>
    <border>
      <left style="thick">
        <color rgb="FFFF0000"/>
      </left>
      <right/>
      <top style="thin">
        <color indexed="64"/>
      </top>
      <bottom/>
      <diagonal/>
    </border>
    <border>
      <left style="thin">
        <color auto="1"/>
      </left>
      <right style="thick">
        <color rgb="FFFF0000"/>
      </right>
      <top style="thin">
        <color auto="1"/>
      </top>
      <bottom style="thin">
        <color auto="1"/>
      </bottom>
      <diagonal/>
    </border>
    <border>
      <left style="thick">
        <color rgb="FFFF0000"/>
      </left>
      <right/>
      <top/>
      <bottom/>
      <diagonal/>
    </border>
    <border>
      <left style="thick">
        <color rgb="FFFF0000"/>
      </left>
      <right/>
      <top/>
      <bottom style="thick">
        <color rgb="FFFF0000"/>
      </bottom>
      <diagonal/>
    </border>
    <border>
      <left/>
      <right/>
      <top/>
      <bottom style="thick">
        <color rgb="FFFF0000"/>
      </bottom>
      <diagonal/>
    </border>
    <border>
      <left/>
      <right style="thin">
        <color auto="1"/>
      </right>
      <top/>
      <bottom style="thick">
        <color rgb="FFFF0000"/>
      </bottom>
      <diagonal/>
    </border>
    <border>
      <left style="thin">
        <color auto="1"/>
      </left>
      <right style="thin">
        <color auto="1"/>
      </right>
      <top style="thin">
        <color auto="1"/>
      </top>
      <bottom style="thick">
        <color rgb="FFFF0000"/>
      </bottom>
      <diagonal/>
    </border>
    <border>
      <left style="thin">
        <color auto="1"/>
      </left>
      <right style="thick">
        <color rgb="FFFF0000"/>
      </right>
      <top style="thin">
        <color auto="1"/>
      </top>
      <bottom style="thick">
        <color rgb="FFFF0000"/>
      </bottom>
      <diagonal/>
    </border>
  </borders>
  <cellStyleXfs count="108">
    <xf numFmtId="0" fontId="0" fillId="0" borderId="0">
      <alignment vertical="center"/>
    </xf>
    <xf numFmtId="0" fontId="6" fillId="0" borderId="0">
      <alignment vertical="center"/>
    </xf>
    <xf numFmtId="38" fontId="6"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1" applyNumberFormat="0" applyFill="0" applyAlignment="0" applyProtection="0">
      <alignment vertical="center"/>
    </xf>
    <xf numFmtId="0" fontId="9" fillId="0" borderId="2" applyNumberFormat="0" applyFill="0" applyAlignment="0" applyProtection="0">
      <alignment vertical="center"/>
    </xf>
    <xf numFmtId="0" fontId="10" fillId="0" borderId="3" applyNumberFormat="0" applyFill="0" applyAlignment="0" applyProtection="0">
      <alignment vertical="center"/>
    </xf>
    <xf numFmtId="0" fontId="10" fillId="0" borderId="0" applyNumberFormat="0" applyFill="0" applyBorder="0" applyAlignment="0" applyProtection="0">
      <alignment vertical="center"/>
    </xf>
    <xf numFmtId="0" fontId="11" fillId="2" borderId="0" applyNumberFormat="0" applyBorder="0" applyAlignment="0" applyProtection="0">
      <alignment vertical="center"/>
    </xf>
    <xf numFmtId="0" fontId="12" fillId="3" borderId="0" applyNumberFormat="0" applyBorder="0" applyAlignment="0" applyProtection="0">
      <alignment vertical="center"/>
    </xf>
    <xf numFmtId="0" fontId="13" fillId="4" borderId="0" applyNumberFormat="0" applyBorder="0" applyAlignment="0" applyProtection="0">
      <alignment vertical="center"/>
    </xf>
    <xf numFmtId="0" fontId="14" fillId="5" borderId="4" applyNumberFormat="0" applyAlignment="0" applyProtection="0">
      <alignment vertical="center"/>
    </xf>
    <xf numFmtId="0" fontId="15" fillId="6" borderId="5" applyNumberFormat="0" applyAlignment="0" applyProtection="0">
      <alignment vertical="center"/>
    </xf>
    <xf numFmtId="0" fontId="16" fillId="6" borderId="4" applyNumberFormat="0" applyAlignment="0" applyProtection="0">
      <alignment vertical="center"/>
    </xf>
    <xf numFmtId="0" fontId="17" fillId="0" borderId="6" applyNumberFormat="0" applyFill="0" applyAlignment="0" applyProtection="0">
      <alignment vertical="center"/>
    </xf>
    <xf numFmtId="0" fontId="18" fillId="7" borderId="7" applyNumberForma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9" applyNumberFormat="0" applyFill="0" applyAlignment="0" applyProtection="0">
      <alignment vertical="center"/>
    </xf>
    <xf numFmtId="0" fontId="22"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22" fillId="12" borderId="0" applyNumberFormat="0" applyBorder="0" applyAlignment="0" applyProtection="0">
      <alignment vertical="center"/>
    </xf>
    <xf numFmtId="0" fontId="22"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22" fillId="16" borderId="0" applyNumberFormat="0" applyBorder="0" applyAlignment="0" applyProtection="0">
      <alignment vertical="center"/>
    </xf>
    <xf numFmtId="0" fontId="22"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22" fillId="20" borderId="0" applyNumberFormat="0" applyBorder="0" applyAlignment="0" applyProtection="0">
      <alignment vertical="center"/>
    </xf>
    <xf numFmtId="0" fontId="22"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22" fillId="24" borderId="0" applyNumberFormat="0" applyBorder="0" applyAlignment="0" applyProtection="0">
      <alignment vertical="center"/>
    </xf>
    <xf numFmtId="0" fontId="22"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22" fillId="32" borderId="0" applyNumberFormat="0" applyBorder="0" applyAlignment="0" applyProtection="0">
      <alignment vertical="center"/>
    </xf>
    <xf numFmtId="0" fontId="3" fillId="0" borderId="0">
      <alignment vertical="center"/>
    </xf>
    <xf numFmtId="0" fontId="3"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4" fillId="0" borderId="0" applyFont="0" applyFill="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8" applyNumberFormat="0" applyFont="0" applyAlignment="0" applyProtection="0">
      <alignment vertical="center"/>
    </xf>
    <xf numFmtId="176" fontId="4" fillId="0" borderId="0" applyFont="0" applyFill="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8" applyNumberFormat="0" applyFon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6" fillId="0" borderId="0" applyFont="0" applyFill="0" applyBorder="0" applyAlignment="0" applyProtection="0">
      <alignment vertical="center"/>
    </xf>
    <xf numFmtId="0" fontId="23" fillId="0" borderId="0" applyAlignment="0">
      <alignment vertical="top" wrapText="1"/>
      <protection locked="0"/>
    </xf>
    <xf numFmtId="176" fontId="4" fillId="0" borderId="0" applyFont="0" applyFill="0" applyBorder="0" applyAlignment="0" applyProtection="0">
      <alignment vertical="center"/>
    </xf>
    <xf numFmtId="176" fontId="6" fillId="0" borderId="0" applyFont="0" applyFill="0" applyBorder="0" applyAlignment="0" applyProtection="0">
      <alignment vertical="center"/>
    </xf>
    <xf numFmtId="176" fontId="4" fillId="0" borderId="0" applyFont="0" applyFill="0" applyBorder="0" applyAlignment="0" applyProtection="0">
      <alignment vertical="center"/>
    </xf>
    <xf numFmtId="176" fontId="6" fillId="0" borderId="0" applyFont="0" applyFill="0" applyBorder="0" applyAlignment="0" applyProtection="0">
      <alignment vertical="center"/>
    </xf>
    <xf numFmtId="176" fontId="4" fillId="0" borderId="0" applyFont="0" applyFill="0" applyBorder="0" applyAlignment="0" applyProtection="0">
      <alignment vertical="center"/>
    </xf>
    <xf numFmtId="176" fontId="6" fillId="0" borderId="0" applyFont="0" applyFill="0" applyBorder="0" applyAlignment="0" applyProtection="0">
      <alignment vertical="center"/>
    </xf>
    <xf numFmtId="176" fontId="4" fillId="0" borderId="0" applyFont="0" applyFill="0" applyBorder="0" applyAlignment="0" applyProtection="0">
      <alignment vertical="center"/>
    </xf>
    <xf numFmtId="176" fontId="6" fillId="0" borderId="0" applyFont="0" applyFill="0" applyBorder="0" applyAlignment="0" applyProtection="0">
      <alignment vertical="center"/>
    </xf>
    <xf numFmtId="0" fontId="25" fillId="0" borderId="0"/>
    <xf numFmtId="176" fontId="25" fillId="0" borderId="0" applyFont="0" applyFill="0" applyBorder="0" applyAlignment="0" applyProtection="0"/>
    <xf numFmtId="38" fontId="25" fillId="0" borderId="0" applyFont="0" applyFill="0" applyBorder="0" applyAlignment="0" applyProtection="0"/>
    <xf numFmtId="0" fontId="4" fillId="0" borderId="0">
      <alignment vertical="center"/>
    </xf>
    <xf numFmtId="38" fontId="4" fillId="0" borderId="0" applyFont="0" applyFill="0" applyBorder="0" applyAlignment="0" applyProtection="0">
      <alignment vertical="center"/>
    </xf>
    <xf numFmtId="38" fontId="6" fillId="0" borderId="0" applyFont="0" applyFill="0" applyBorder="0" applyAlignment="0" applyProtection="0">
      <alignment vertical="center"/>
    </xf>
    <xf numFmtId="0" fontId="43" fillId="0" borderId="0"/>
  </cellStyleXfs>
  <cellXfs count="581">
    <xf numFmtId="0" fontId="0" fillId="0" borderId="0" xfId="0">
      <alignment vertical="center"/>
    </xf>
    <xf numFmtId="0" fontId="29" fillId="0" borderId="0" xfId="101" applyFont="1" applyAlignment="1">
      <alignment vertical="center"/>
    </xf>
    <xf numFmtId="0" fontId="29" fillId="0" borderId="0" xfId="101" applyFont="1" applyAlignment="1">
      <alignment horizontal="right" vertical="center"/>
    </xf>
    <xf numFmtId="0" fontId="29" fillId="0" borderId="13" xfId="101" applyFont="1" applyBorder="1" applyAlignment="1">
      <alignment horizontal="center" vertical="center"/>
    </xf>
    <xf numFmtId="0" fontId="29" fillId="0" borderId="0" xfId="101" applyFont="1" applyAlignment="1">
      <alignment horizontal="center" vertical="center"/>
    </xf>
    <xf numFmtId="0" fontId="29" fillId="0" borderId="15" xfId="101" applyFont="1" applyBorder="1" applyAlignment="1">
      <alignment vertical="center"/>
    </xf>
    <xf numFmtId="0" fontId="29" fillId="0" borderId="11" xfId="101" applyFont="1" applyBorder="1" applyAlignment="1">
      <alignment vertical="center"/>
    </xf>
    <xf numFmtId="0" fontId="24" fillId="0" borderId="15" xfId="101" applyFont="1" applyBorder="1" applyAlignment="1">
      <alignment horizontal="right" vertical="center"/>
    </xf>
    <xf numFmtId="0" fontId="29" fillId="0" borderId="12" xfId="101" applyFont="1" applyBorder="1" applyAlignment="1">
      <alignment horizontal="left" vertical="center"/>
    </xf>
    <xf numFmtId="0" fontId="29" fillId="0" borderId="14" xfId="101" applyFont="1" applyBorder="1" applyAlignment="1">
      <alignment vertical="center"/>
    </xf>
    <xf numFmtId="0" fontId="29" fillId="0" borderId="16" xfId="101" applyFont="1" applyBorder="1" applyAlignment="1">
      <alignment vertical="center"/>
    </xf>
    <xf numFmtId="0" fontId="29" fillId="0" borderId="18" xfId="101" applyFont="1" applyBorder="1" applyAlignment="1">
      <alignment vertical="center"/>
    </xf>
    <xf numFmtId="0" fontId="29" fillId="0" borderId="19" xfId="101" applyFont="1" applyBorder="1" applyAlignment="1">
      <alignment vertical="center"/>
    </xf>
    <xf numFmtId="0" fontId="29" fillId="0" borderId="20" xfId="101" applyFont="1" applyBorder="1" applyAlignment="1">
      <alignment vertical="center"/>
    </xf>
    <xf numFmtId="0" fontId="29" fillId="33" borderId="10" xfId="101" applyFont="1" applyFill="1" applyBorder="1" applyAlignment="1">
      <alignment horizontal="center" vertical="center"/>
    </xf>
    <xf numFmtId="0" fontId="29" fillId="33" borderId="11" xfId="101" applyFont="1" applyFill="1" applyBorder="1" applyAlignment="1">
      <alignment vertical="center"/>
    </xf>
    <xf numFmtId="0" fontId="29" fillId="0" borderId="37" xfId="101" applyFont="1" applyBorder="1" applyAlignment="1">
      <alignment horizontal="center" vertical="center"/>
    </xf>
    <xf numFmtId="0" fontId="29" fillId="0" borderId="42" xfId="101" applyFont="1" applyBorder="1" applyAlignment="1">
      <alignment horizontal="center" vertical="center"/>
    </xf>
    <xf numFmtId="0" fontId="29" fillId="0" borderId="42" xfId="101" applyFont="1" applyBorder="1" applyAlignment="1">
      <alignment vertical="center"/>
    </xf>
    <xf numFmtId="0" fontId="29" fillId="0" borderId="24" xfId="101" applyFont="1" applyBorder="1" applyAlignment="1">
      <alignment vertical="center"/>
    </xf>
    <xf numFmtId="0" fontId="29" fillId="0" borderId="45" xfId="101" applyFont="1" applyBorder="1" applyAlignment="1">
      <alignment vertical="center"/>
    </xf>
    <xf numFmtId="0" fontId="24" fillId="0" borderId="0" xfId="101" applyFont="1" applyAlignment="1">
      <alignment vertical="center"/>
    </xf>
    <xf numFmtId="0" fontId="24" fillId="0" borderId="0" xfId="101" applyFont="1" applyAlignment="1">
      <alignment horizontal="right" vertical="center"/>
    </xf>
    <xf numFmtId="0" fontId="24" fillId="0" borderId="13" xfId="101" applyFont="1" applyBorder="1" applyAlignment="1">
      <alignment vertical="center"/>
    </xf>
    <xf numFmtId="0" fontId="24" fillId="0" borderId="17" xfId="101" applyFont="1" applyBorder="1" applyAlignment="1">
      <alignment vertical="center"/>
    </xf>
    <xf numFmtId="0" fontId="24" fillId="0" borderId="15" xfId="101" applyFont="1" applyBorder="1" applyAlignment="1">
      <alignment horizontal="center" vertical="center"/>
    </xf>
    <xf numFmtId="0" fontId="24" fillId="0" borderId="0" xfId="101" applyFont="1" applyAlignment="1">
      <alignment horizontal="center"/>
    </xf>
    <xf numFmtId="0" fontId="24" fillId="0" borderId="0" xfId="101" applyFont="1" applyAlignment="1">
      <alignment horizontal="center" vertical="center"/>
    </xf>
    <xf numFmtId="0" fontId="27" fillId="0" borderId="0" xfId="101" applyFont="1" applyAlignment="1">
      <alignment vertical="center"/>
    </xf>
    <xf numFmtId="0" fontId="24" fillId="0" borderId="13" xfId="101" applyFont="1" applyBorder="1" applyAlignment="1">
      <alignment horizontal="center" vertical="center"/>
    </xf>
    <xf numFmtId="0" fontId="24" fillId="0" borderId="12" xfId="101" applyFont="1" applyBorder="1" applyAlignment="1">
      <alignment horizontal="left" vertical="center"/>
    </xf>
    <xf numFmtId="0" fontId="29" fillId="0" borderId="13" xfId="101" applyFont="1" applyBorder="1" applyAlignment="1">
      <alignment vertical="center"/>
    </xf>
    <xf numFmtId="0" fontId="32" fillId="0" borderId="0" xfId="104" applyFont="1">
      <alignment vertical="center"/>
    </xf>
    <xf numFmtId="0" fontId="34" fillId="34" borderId="0" xfId="104" applyFont="1" applyFill="1">
      <alignment vertical="center"/>
    </xf>
    <xf numFmtId="0" fontId="35" fillId="34" borderId="0" xfId="0" applyFont="1" applyFill="1">
      <alignment vertical="center"/>
    </xf>
    <xf numFmtId="177" fontId="37" fillId="35" borderId="10" xfId="1" applyNumberFormat="1" applyFont="1" applyFill="1" applyBorder="1" applyAlignment="1">
      <alignment horizontal="center" vertical="center" wrapText="1"/>
    </xf>
    <xf numFmtId="177" fontId="37" fillId="35" borderId="10" xfId="1" applyNumberFormat="1" applyFont="1" applyFill="1" applyBorder="1" applyAlignment="1">
      <alignment horizontal="center" vertical="center"/>
    </xf>
    <xf numFmtId="0" fontId="24" fillId="0" borderId="0" xfId="0" applyFont="1">
      <alignment vertical="center"/>
    </xf>
    <xf numFmtId="0" fontId="38" fillId="36" borderId="10" xfId="0" applyFont="1" applyFill="1" applyBorder="1" applyAlignment="1">
      <alignment horizontal="center" vertical="center"/>
    </xf>
    <xf numFmtId="177" fontId="38" fillId="36" borderId="10" xfId="0" applyNumberFormat="1" applyFont="1" applyFill="1" applyBorder="1" applyAlignment="1">
      <alignment horizontal="center" vertical="center"/>
    </xf>
    <xf numFmtId="38" fontId="38" fillId="36" borderId="10" xfId="0" applyNumberFormat="1" applyFont="1" applyFill="1" applyBorder="1" applyAlignment="1">
      <alignment horizontal="center" vertical="center"/>
    </xf>
    <xf numFmtId="178" fontId="38" fillId="36" borderId="10" xfId="0" applyNumberFormat="1" applyFont="1" applyFill="1" applyBorder="1" applyAlignment="1">
      <alignment horizontal="center" vertical="center" wrapText="1"/>
    </xf>
    <xf numFmtId="14" fontId="38" fillId="36" borderId="10" xfId="0" applyNumberFormat="1" applyFont="1" applyFill="1" applyBorder="1" applyAlignment="1">
      <alignment horizontal="center" vertical="center"/>
    </xf>
    <xf numFmtId="180" fontId="37" fillId="35" borderId="10" xfId="1" applyNumberFormat="1" applyFont="1" applyFill="1" applyBorder="1" applyAlignment="1">
      <alignment horizontal="center" vertical="center" wrapText="1"/>
    </xf>
    <xf numFmtId="180" fontId="37" fillId="35" borderId="10" xfId="1" applyNumberFormat="1" applyFont="1" applyFill="1" applyBorder="1" applyAlignment="1">
      <alignment horizontal="center" vertical="center"/>
    </xf>
    <xf numFmtId="0" fontId="24" fillId="37" borderId="0" xfId="0" applyFont="1" applyFill="1">
      <alignment vertical="center"/>
    </xf>
    <xf numFmtId="0" fontId="40" fillId="0" borderId="0" xfId="0" applyFont="1">
      <alignment vertical="center"/>
    </xf>
    <xf numFmtId="0" fontId="24" fillId="39" borderId="0" xfId="0" applyFont="1" applyFill="1">
      <alignment vertical="center"/>
    </xf>
    <xf numFmtId="0" fontId="37" fillId="0" borderId="10" xfId="101" applyFont="1" applyBorder="1" applyAlignment="1">
      <alignment horizontal="center" vertical="center"/>
    </xf>
    <xf numFmtId="0" fontId="37" fillId="0" borderId="10" xfId="104" applyFont="1" applyBorder="1" applyAlignment="1">
      <alignment horizontal="center" vertical="center"/>
    </xf>
    <xf numFmtId="0" fontId="37" fillId="0" borderId="0" xfId="0" applyFont="1">
      <alignment vertical="center"/>
    </xf>
    <xf numFmtId="0" fontId="24" fillId="41" borderId="10" xfId="0" applyFont="1" applyFill="1" applyBorder="1">
      <alignment vertical="center"/>
    </xf>
    <xf numFmtId="0" fontId="42" fillId="0" borderId="0" xfId="0" applyFont="1">
      <alignment vertical="center"/>
    </xf>
    <xf numFmtId="14" fontId="42" fillId="0" borderId="0" xfId="0" applyNumberFormat="1" applyFont="1">
      <alignment vertical="center"/>
    </xf>
    <xf numFmtId="0" fontId="24" fillId="0" borderId="12" xfId="101" applyFont="1" applyBorder="1" applyAlignment="1">
      <alignment vertical="center"/>
    </xf>
    <xf numFmtId="176" fontId="26" fillId="0" borderId="12" xfId="102" applyFont="1" applyFill="1" applyBorder="1" applyAlignment="1">
      <alignment horizontal="center" vertical="center"/>
    </xf>
    <xf numFmtId="0" fontId="43" fillId="0" borderId="0" xfId="107"/>
    <xf numFmtId="0" fontId="43" fillId="0" borderId="12" xfId="107" applyBorder="1"/>
    <xf numFmtId="0" fontId="50" fillId="0" borderId="12" xfId="107" applyFont="1" applyBorder="1" applyAlignment="1">
      <alignment horizontal="left" vertical="center"/>
    </xf>
    <xf numFmtId="0" fontId="43" fillId="0" borderId="54" xfId="107" applyBorder="1"/>
    <xf numFmtId="0" fontId="51" fillId="0" borderId="12" xfId="107" applyFont="1" applyBorder="1" applyAlignment="1">
      <alignment horizontal="left" vertical="center"/>
    </xf>
    <xf numFmtId="0" fontId="51" fillId="0" borderId="51" xfId="107" applyFont="1" applyBorder="1" applyAlignment="1">
      <alignment horizontal="center" vertical="center"/>
    </xf>
    <xf numFmtId="0" fontId="52" fillId="43" borderId="10" xfId="107" applyFont="1" applyFill="1" applyBorder="1" applyAlignment="1">
      <alignment horizontal="center" vertical="center"/>
    </xf>
    <xf numFmtId="0" fontId="53" fillId="44" borderId="63" xfId="107" applyFont="1" applyFill="1" applyBorder="1" applyAlignment="1">
      <alignment horizontal="center" vertical="center"/>
    </xf>
    <xf numFmtId="3" fontId="53" fillId="44" borderId="63" xfId="107" applyNumberFormat="1" applyFont="1" applyFill="1" applyBorder="1" applyAlignment="1">
      <alignment horizontal="right" vertical="center"/>
    </xf>
    <xf numFmtId="0" fontId="53" fillId="0" borderId="63" xfId="107" applyFont="1" applyBorder="1" applyAlignment="1">
      <alignment horizontal="center" vertical="center"/>
    </xf>
    <xf numFmtId="3" fontId="53" fillId="0" borderId="63" xfId="107" applyNumberFormat="1" applyFont="1" applyBorder="1" applyAlignment="1">
      <alignment horizontal="right" vertical="center"/>
    </xf>
    <xf numFmtId="0" fontId="53" fillId="0" borderId="0" xfId="107" applyFont="1" applyAlignment="1">
      <alignment horizontal="center" vertical="center"/>
    </xf>
    <xf numFmtId="0" fontId="53" fillId="0" borderId="0" xfId="107" applyFont="1"/>
    <xf numFmtId="0" fontId="54" fillId="0" borderId="0" xfId="107" applyFont="1"/>
    <xf numFmtId="0" fontId="53" fillId="0" borderId="13" xfId="107" applyFont="1" applyBorder="1"/>
    <xf numFmtId="0" fontId="54" fillId="0" borderId="13" xfId="107" applyFont="1" applyBorder="1"/>
    <xf numFmtId="0" fontId="43" fillId="0" borderId="13" xfId="107" applyBorder="1"/>
    <xf numFmtId="0" fontId="54" fillId="0" borderId="10" xfId="107" applyFont="1" applyBorder="1" applyAlignment="1">
      <alignment horizontal="center" vertical="center"/>
    </xf>
    <xf numFmtId="0" fontId="43" fillId="0" borderId="10" xfId="107" applyBorder="1"/>
    <xf numFmtId="0" fontId="55" fillId="0" borderId="47" xfId="107" applyFont="1" applyBorder="1" applyAlignment="1">
      <alignment horizontal="right" vertical="center"/>
    </xf>
    <xf numFmtId="0" fontId="42" fillId="0" borderId="0" xfId="0" applyFont="1" applyAlignment="1">
      <alignment vertical="center" wrapText="1"/>
    </xf>
    <xf numFmtId="0" fontId="48" fillId="0" borderId="12" xfId="107" applyFont="1" applyBorder="1" applyAlignment="1">
      <alignment horizontal="left" vertical="center"/>
    </xf>
    <xf numFmtId="0" fontId="56" fillId="0" borderId="10" xfId="101" applyFont="1" applyBorder="1" applyAlignment="1">
      <alignment horizontal="center" vertical="center"/>
    </xf>
    <xf numFmtId="0" fontId="56" fillId="0" borderId="10" xfId="1" applyFont="1" applyBorder="1" applyAlignment="1">
      <alignment horizontal="center" vertical="center"/>
    </xf>
    <xf numFmtId="0" fontId="56" fillId="0" borderId="10" xfId="101" applyFont="1" applyBorder="1" applyAlignment="1">
      <alignment horizontal="left" vertical="center"/>
    </xf>
    <xf numFmtId="177" fontId="56" fillId="0" borderId="10" xfId="101" applyNumberFormat="1" applyFont="1" applyBorder="1" applyAlignment="1">
      <alignment horizontal="center" vertical="center"/>
    </xf>
    <xf numFmtId="177" fontId="56" fillId="0" borderId="10" xfId="105" applyNumberFormat="1" applyFont="1" applyFill="1" applyBorder="1" applyAlignment="1">
      <alignment horizontal="center" vertical="center"/>
    </xf>
    <xf numFmtId="38" fontId="56" fillId="0" borderId="10" xfId="105" applyFont="1" applyFill="1" applyBorder="1">
      <alignment vertical="center"/>
    </xf>
    <xf numFmtId="0" fontId="56" fillId="0" borderId="10" xfId="104" applyFont="1" applyBorder="1" applyAlignment="1">
      <alignment horizontal="center" vertical="center"/>
    </xf>
    <xf numFmtId="177" fontId="37" fillId="0" borderId="10" xfId="104" applyNumberFormat="1" applyFont="1" applyBorder="1" applyAlignment="1">
      <alignment horizontal="center" vertical="center"/>
    </xf>
    <xf numFmtId="177" fontId="37" fillId="0" borderId="10" xfId="104" applyNumberFormat="1" applyFont="1" applyBorder="1" applyAlignment="1">
      <alignment horizontal="left" vertical="center"/>
    </xf>
    <xf numFmtId="0" fontId="56" fillId="0" borderId="10" xfId="101" applyFont="1" applyBorder="1" applyAlignment="1">
      <alignment horizontal="left" vertical="center" wrapText="1"/>
    </xf>
    <xf numFmtId="177" fontId="56" fillId="0" borderId="10" xfId="1" applyNumberFormat="1" applyFont="1" applyBorder="1" applyAlignment="1">
      <alignment horizontal="center" vertical="center"/>
    </xf>
    <xf numFmtId="38" fontId="56" fillId="0" borderId="10" xfId="105" applyFont="1" applyFill="1" applyBorder="1" applyAlignment="1">
      <alignment horizontal="right" vertical="center"/>
    </xf>
    <xf numFmtId="14" fontId="56" fillId="0" borderId="10" xfId="1" applyNumberFormat="1" applyFont="1" applyBorder="1" applyAlignment="1">
      <alignment horizontal="left" vertical="center" wrapText="1"/>
    </xf>
    <xf numFmtId="0" fontId="37" fillId="0" borderId="10" xfId="1" applyFont="1" applyBorder="1" applyAlignment="1">
      <alignment horizontal="center" vertical="center"/>
    </xf>
    <xf numFmtId="0" fontId="37" fillId="0" borderId="10" xfId="1" applyFont="1" applyBorder="1" applyAlignment="1">
      <alignment horizontal="left" vertical="center"/>
    </xf>
    <xf numFmtId="177" fontId="37" fillId="0" borderId="10" xfId="1" applyNumberFormat="1" applyFont="1" applyBorder="1" applyAlignment="1">
      <alignment horizontal="center" vertical="center"/>
    </xf>
    <xf numFmtId="177" fontId="37" fillId="0" borderId="10" xfId="105" applyNumberFormat="1" applyFont="1" applyBorder="1" applyAlignment="1">
      <alignment horizontal="center" vertical="center"/>
    </xf>
    <xf numFmtId="177" fontId="37" fillId="0" borderId="10" xfId="105" applyNumberFormat="1" applyFont="1" applyFill="1" applyBorder="1" applyAlignment="1">
      <alignment horizontal="center" vertical="center"/>
    </xf>
    <xf numFmtId="38" fontId="37" fillId="0" borderId="10" xfId="105" applyFont="1" applyFill="1" applyBorder="1" applyAlignment="1">
      <alignment horizontal="right" vertical="center"/>
    </xf>
    <xf numFmtId="0" fontId="37" fillId="0" borderId="10" xfId="101" applyFont="1" applyBorder="1" applyAlignment="1">
      <alignment horizontal="left" vertical="center"/>
    </xf>
    <xf numFmtId="14" fontId="56" fillId="0" borderId="10" xfId="101" applyNumberFormat="1" applyFont="1" applyBorder="1" applyAlignment="1">
      <alignment horizontal="left" vertical="center"/>
    </xf>
    <xf numFmtId="0" fontId="56" fillId="0" borderId="10" xfId="104" applyFont="1" applyBorder="1" applyAlignment="1">
      <alignment horizontal="left" vertical="center"/>
    </xf>
    <xf numFmtId="177" fontId="56" fillId="0" borderId="10" xfId="104" applyNumberFormat="1" applyFont="1" applyBorder="1" applyAlignment="1">
      <alignment horizontal="center" vertical="center"/>
    </xf>
    <xf numFmtId="14" fontId="56" fillId="0" borderId="10" xfId="104" applyNumberFormat="1" applyFont="1" applyBorder="1" applyAlignment="1">
      <alignment horizontal="left" vertical="center"/>
    </xf>
    <xf numFmtId="181" fontId="56" fillId="0" borderId="10" xfId="104" applyNumberFormat="1" applyFont="1" applyBorder="1" applyAlignment="1">
      <alignment horizontal="left" vertical="center" wrapText="1"/>
    </xf>
    <xf numFmtId="177" fontId="56" fillId="0" borderId="10" xfId="104" applyNumberFormat="1" applyFont="1" applyBorder="1" applyAlignment="1">
      <alignment horizontal="left" vertical="center"/>
    </xf>
    <xf numFmtId="0" fontId="56" fillId="38" borderId="10" xfId="104" applyFont="1" applyFill="1" applyBorder="1" applyAlignment="1">
      <alignment horizontal="center" vertical="center"/>
    </xf>
    <xf numFmtId="0" fontId="56" fillId="38" borderId="10" xfId="104" applyFont="1" applyFill="1" applyBorder="1" applyAlignment="1">
      <alignment horizontal="left" vertical="center"/>
    </xf>
    <xf numFmtId="177" fontId="56" fillId="38" borderId="10" xfId="104" applyNumberFormat="1" applyFont="1" applyFill="1" applyBorder="1" applyAlignment="1">
      <alignment horizontal="center" vertical="center"/>
    </xf>
    <xf numFmtId="177" fontId="56" fillId="38" borderId="10" xfId="105" applyNumberFormat="1" applyFont="1" applyFill="1" applyBorder="1" applyAlignment="1">
      <alignment horizontal="center" vertical="center"/>
    </xf>
    <xf numFmtId="14" fontId="56" fillId="38" borderId="10" xfId="104" applyNumberFormat="1" applyFont="1" applyFill="1" applyBorder="1" applyAlignment="1">
      <alignment horizontal="left" vertical="center"/>
    </xf>
    <xf numFmtId="0" fontId="56" fillId="0" borderId="10" xfId="104" applyFont="1" applyBorder="1" applyAlignment="1">
      <alignment horizontal="left" vertical="center" wrapText="1"/>
    </xf>
    <xf numFmtId="177" fontId="56" fillId="0" borderId="10" xfId="104" quotePrefix="1" applyNumberFormat="1" applyFont="1" applyBorder="1" applyAlignment="1">
      <alignment horizontal="center" vertical="center"/>
    </xf>
    <xf numFmtId="14" fontId="56" fillId="0" borderId="10" xfId="104" applyNumberFormat="1" applyFont="1" applyBorder="1" applyAlignment="1">
      <alignment horizontal="left" vertical="center" wrapText="1"/>
    </xf>
    <xf numFmtId="38" fontId="56" fillId="38" borderId="10" xfId="105" applyFont="1" applyFill="1" applyBorder="1">
      <alignment vertical="center"/>
    </xf>
    <xf numFmtId="178" fontId="56" fillId="0" borderId="10" xfId="1" applyNumberFormat="1" applyFont="1" applyBorder="1" applyAlignment="1">
      <alignment horizontal="center" vertical="center"/>
    </xf>
    <xf numFmtId="0" fontId="56" fillId="45" borderId="10" xfId="104" applyFont="1" applyFill="1" applyBorder="1" applyAlignment="1">
      <alignment horizontal="center" vertical="center"/>
    </xf>
    <xf numFmtId="0" fontId="56" fillId="45" borderId="10" xfId="104" applyFont="1" applyFill="1" applyBorder="1" applyAlignment="1">
      <alignment horizontal="left" vertical="center"/>
    </xf>
    <xf numFmtId="177" fontId="56" fillId="45" borderId="10" xfId="104" applyNumberFormat="1" applyFont="1" applyFill="1" applyBorder="1" applyAlignment="1">
      <alignment horizontal="center" vertical="center"/>
    </xf>
    <xf numFmtId="177" fontId="56" fillId="45" borderId="10" xfId="105" applyNumberFormat="1" applyFont="1" applyFill="1" applyBorder="1" applyAlignment="1">
      <alignment horizontal="center" vertical="center"/>
    </xf>
    <xf numFmtId="38" fontId="56" fillId="45" borderId="10" xfId="105" applyFont="1" applyFill="1" applyBorder="1">
      <alignment vertical="center"/>
    </xf>
    <xf numFmtId="14" fontId="56" fillId="45" borderId="10" xfId="104" applyNumberFormat="1" applyFont="1" applyFill="1" applyBorder="1" applyAlignment="1">
      <alignment horizontal="left" vertical="center"/>
    </xf>
    <xf numFmtId="177" fontId="56" fillId="45" borderId="10" xfId="104" applyNumberFormat="1" applyFont="1" applyFill="1" applyBorder="1" applyAlignment="1">
      <alignment horizontal="left" vertical="center"/>
    </xf>
    <xf numFmtId="177" fontId="56" fillId="38" borderId="10" xfId="104" applyNumberFormat="1" applyFont="1" applyFill="1" applyBorder="1" applyAlignment="1">
      <alignment horizontal="left" vertical="center"/>
    </xf>
    <xf numFmtId="177" fontId="56" fillId="38" borderId="10" xfId="104" applyNumberFormat="1" applyFont="1" applyFill="1" applyBorder="1" applyAlignment="1">
      <alignment horizontal="left" vertical="center" wrapText="1"/>
    </xf>
    <xf numFmtId="181" fontId="56" fillId="0" borderId="10" xfId="104" applyNumberFormat="1" applyFont="1" applyBorder="1" applyAlignment="1">
      <alignment horizontal="left" vertical="center"/>
    </xf>
    <xf numFmtId="181" fontId="56" fillId="38" borderId="10" xfId="104" applyNumberFormat="1" applyFont="1" applyFill="1" applyBorder="1" applyAlignment="1">
      <alignment horizontal="left" vertical="center"/>
    </xf>
    <xf numFmtId="181" fontId="41" fillId="0" borderId="10" xfId="104" applyNumberFormat="1" applyFont="1" applyBorder="1" applyAlignment="1">
      <alignment horizontal="left" vertical="center" wrapText="1"/>
    </xf>
    <xf numFmtId="0" fontId="41" fillId="0" borderId="10" xfId="104" applyFont="1" applyBorder="1" applyAlignment="1">
      <alignment horizontal="center" vertical="center"/>
    </xf>
    <xf numFmtId="177" fontId="38" fillId="0" borderId="10" xfId="101" applyNumberFormat="1" applyFont="1" applyBorder="1" applyAlignment="1">
      <alignment horizontal="center" vertical="center"/>
    </xf>
    <xf numFmtId="177" fontId="38" fillId="0" borderId="10" xfId="104" applyNumberFormat="1" applyFont="1" applyBorder="1" applyAlignment="1">
      <alignment horizontal="center" vertical="center"/>
    </xf>
    <xf numFmtId="177" fontId="38" fillId="0" borderId="10" xfId="104" applyNumberFormat="1" applyFont="1" applyBorder="1" applyAlignment="1">
      <alignment horizontal="left" vertical="center"/>
    </xf>
    <xf numFmtId="177" fontId="38" fillId="0" borderId="10" xfId="104" applyNumberFormat="1" applyFont="1" applyBorder="1" applyAlignment="1">
      <alignment horizontal="left" vertical="center" wrapText="1"/>
    </xf>
    <xf numFmtId="177" fontId="38" fillId="0" borderId="10" xfId="1" applyNumberFormat="1" applyFont="1" applyBorder="1" applyAlignment="1">
      <alignment horizontal="center" vertical="center"/>
    </xf>
    <xf numFmtId="0" fontId="38" fillId="0" borderId="10" xfId="101" applyFont="1" applyBorder="1" applyAlignment="1">
      <alignment horizontal="center" vertical="center"/>
    </xf>
    <xf numFmtId="0" fontId="38" fillId="0" borderId="10" xfId="101" applyFont="1" applyBorder="1" applyAlignment="1">
      <alignment horizontal="left" vertical="center"/>
    </xf>
    <xf numFmtId="177" fontId="38" fillId="0" borderId="10" xfId="105" applyNumberFormat="1" applyFont="1" applyFill="1" applyBorder="1" applyAlignment="1">
      <alignment horizontal="center" vertical="center"/>
    </xf>
    <xf numFmtId="38" fontId="38" fillId="0" borderId="10" xfId="105" applyFont="1" applyFill="1" applyBorder="1">
      <alignment vertical="center"/>
    </xf>
    <xf numFmtId="0" fontId="38" fillId="0" borderId="10" xfId="104" applyFont="1" applyBorder="1" applyAlignment="1">
      <alignment horizontal="center" vertical="center"/>
    </xf>
    <xf numFmtId="14" fontId="38" fillId="0" borderId="10" xfId="101" applyNumberFormat="1" applyFont="1" applyBorder="1" applyAlignment="1">
      <alignment horizontal="left" vertical="center"/>
    </xf>
    <xf numFmtId="0" fontId="38" fillId="0" borderId="10" xfId="104" applyFont="1" applyBorder="1" applyAlignment="1">
      <alignment horizontal="left" vertical="center"/>
    </xf>
    <xf numFmtId="14" fontId="38" fillId="0" borderId="10" xfId="104" applyNumberFormat="1" applyFont="1" applyBorder="1" applyAlignment="1">
      <alignment horizontal="center" vertical="center"/>
    </xf>
    <xf numFmtId="0" fontId="38" fillId="46" borderId="10" xfId="101" applyFont="1" applyFill="1" applyBorder="1" applyAlignment="1">
      <alignment horizontal="center" vertical="center"/>
    </xf>
    <xf numFmtId="0" fontId="38" fillId="46" borderId="10" xfId="101" applyFont="1" applyFill="1" applyBorder="1" applyAlignment="1">
      <alignment horizontal="left" vertical="center"/>
    </xf>
    <xf numFmtId="177" fontId="38" fillId="46" borderId="10" xfId="101" applyNumberFormat="1" applyFont="1" applyFill="1" applyBorder="1" applyAlignment="1">
      <alignment horizontal="center" vertical="center"/>
    </xf>
    <xf numFmtId="177" fontId="38" fillId="46" borderId="10" xfId="105" applyNumberFormat="1" applyFont="1" applyFill="1" applyBorder="1" applyAlignment="1">
      <alignment horizontal="center" vertical="center"/>
    </xf>
    <xf numFmtId="38" fontId="38" fillId="46" borderId="10" xfId="105" applyFont="1" applyFill="1" applyBorder="1">
      <alignment vertical="center"/>
    </xf>
    <xf numFmtId="0" fontId="38" fillId="46" borderId="10" xfId="104" applyFont="1" applyFill="1" applyBorder="1" applyAlignment="1">
      <alignment horizontal="center" vertical="center"/>
    </xf>
    <xf numFmtId="14" fontId="38" fillId="46" borderId="10" xfId="101" applyNumberFormat="1" applyFont="1" applyFill="1" applyBorder="1" applyAlignment="1">
      <alignment horizontal="center" vertical="center"/>
    </xf>
    <xf numFmtId="177" fontId="38" fillId="46" borderId="10" xfId="104" applyNumberFormat="1" applyFont="1" applyFill="1" applyBorder="1" applyAlignment="1">
      <alignment horizontal="center" vertical="center"/>
    </xf>
    <xf numFmtId="177" fontId="38" fillId="46" borderId="10" xfId="104" applyNumberFormat="1" applyFont="1" applyFill="1" applyBorder="1" applyAlignment="1">
      <alignment horizontal="left" vertical="center" wrapText="1"/>
    </xf>
    <xf numFmtId="0" fontId="38" fillId="47" borderId="10" xfId="104" applyFont="1" applyFill="1" applyBorder="1" applyAlignment="1">
      <alignment horizontal="center" vertical="center"/>
    </xf>
    <xf numFmtId="0" fontId="38" fillId="47" borderId="10" xfId="101" applyFont="1" applyFill="1" applyBorder="1" applyAlignment="1">
      <alignment horizontal="center" vertical="center"/>
    </xf>
    <xf numFmtId="0" fontId="38" fillId="47" borderId="10" xfId="104" applyFont="1" applyFill="1" applyBorder="1" applyAlignment="1">
      <alignment horizontal="left" vertical="center"/>
    </xf>
    <xf numFmtId="177" fontId="38" fillId="47" borderId="10" xfId="104" applyNumberFormat="1" applyFont="1" applyFill="1" applyBorder="1" applyAlignment="1">
      <alignment horizontal="center" vertical="center"/>
    </xf>
    <xf numFmtId="177" fontId="38" fillId="47" borderId="10" xfId="105" applyNumberFormat="1" applyFont="1" applyFill="1" applyBorder="1" applyAlignment="1">
      <alignment horizontal="center" vertical="center"/>
    </xf>
    <xf numFmtId="38" fontId="38" fillId="47" borderId="10" xfId="105" applyFont="1" applyFill="1" applyBorder="1">
      <alignment vertical="center"/>
    </xf>
    <xf numFmtId="14" fontId="38" fillId="47" borderId="10" xfId="104" applyNumberFormat="1" applyFont="1" applyFill="1" applyBorder="1" applyAlignment="1">
      <alignment horizontal="left" vertical="center"/>
    </xf>
    <xf numFmtId="177" fontId="38" fillId="47" borderId="10" xfId="104" applyNumberFormat="1" applyFont="1" applyFill="1" applyBorder="1" applyAlignment="1">
      <alignment horizontal="left" vertical="center" wrapText="1"/>
    </xf>
    <xf numFmtId="14" fontId="38" fillId="0" borderId="10" xfId="104" applyNumberFormat="1" applyFont="1" applyBorder="1" applyAlignment="1">
      <alignment horizontal="left" vertical="center"/>
    </xf>
    <xf numFmtId="0" fontId="38" fillId="0" borderId="10" xfId="1" applyFont="1" applyBorder="1" applyAlignment="1">
      <alignment horizontal="center" vertical="center" wrapText="1"/>
    </xf>
    <xf numFmtId="0" fontId="38" fillId="0" borderId="10" xfId="104" applyFont="1" applyBorder="1" applyAlignment="1">
      <alignment horizontal="left" vertical="center" wrapText="1"/>
    </xf>
    <xf numFmtId="177" fontId="38" fillId="0" borderId="10" xfId="1" applyNumberFormat="1" applyFont="1" applyBorder="1" applyAlignment="1">
      <alignment horizontal="left" vertical="center"/>
    </xf>
    <xf numFmtId="177" fontId="38" fillId="46" borderId="46" xfId="105" applyNumberFormat="1" applyFont="1" applyFill="1" applyBorder="1" applyAlignment="1">
      <alignment horizontal="center" vertical="center"/>
    </xf>
    <xf numFmtId="14" fontId="38" fillId="46" borderId="10" xfId="101" applyNumberFormat="1" applyFont="1" applyFill="1" applyBorder="1" applyAlignment="1">
      <alignment horizontal="left" vertical="center"/>
    </xf>
    <xf numFmtId="177" fontId="38" fillId="46" borderId="10" xfId="1" applyNumberFormat="1" applyFont="1" applyFill="1" applyBorder="1" applyAlignment="1">
      <alignment horizontal="center" vertical="center"/>
    </xf>
    <xf numFmtId="177" fontId="38" fillId="46" borderId="10" xfId="104" applyNumberFormat="1" applyFont="1" applyFill="1" applyBorder="1" applyAlignment="1">
      <alignment horizontal="left" vertical="center"/>
    </xf>
    <xf numFmtId="177" fontId="38" fillId="0" borderId="10" xfId="104" quotePrefix="1" applyNumberFormat="1" applyFont="1" applyBorder="1" applyAlignment="1">
      <alignment horizontal="center" vertical="center"/>
    </xf>
    <xf numFmtId="177" fontId="38" fillId="0" borderId="10" xfId="104" quotePrefix="1" applyNumberFormat="1" applyFont="1" applyBorder="1" applyAlignment="1">
      <alignment horizontal="left" vertical="center"/>
    </xf>
    <xf numFmtId="0" fontId="56" fillId="47" borderId="10" xfId="104" applyFont="1" applyFill="1" applyBorder="1" applyAlignment="1">
      <alignment horizontal="center" vertical="center"/>
    </xf>
    <xf numFmtId="0" fontId="56" fillId="47" borderId="10" xfId="101" applyFont="1" applyFill="1" applyBorder="1" applyAlignment="1">
      <alignment horizontal="center" vertical="center"/>
    </xf>
    <xf numFmtId="0" fontId="56" fillId="47" borderId="10" xfId="104" applyFont="1" applyFill="1" applyBorder="1" applyAlignment="1">
      <alignment horizontal="left" vertical="center"/>
    </xf>
    <xf numFmtId="177" fontId="56" fillId="47" borderId="10" xfId="104" applyNumberFormat="1" applyFont="1" applyFill="1" applyBorder="1" applyAlignment="1">
      <alignment horizontal="center" vertical="center"/>
    </xf>
    <xf numFmtId="177" fontId="56" fillId="47" borderId="10" xfId="105" applyNumberFormat="1" applyFont="1" applyFill="1" applyBorder="1" applyAlignment="1">
      <alignment horizontal="center" vertical="center"/>
    </xf>
    <xf numFmtId="38" fontId="56" fillId="47" borderId="10" xfId="105" applyFont="1" applyFill="1" applyBorder="1" applyAlignment="1">
      <alignment horizontal="right" vertical="center"/>
    </xf>
    <xf numFmtId="14" fontId="56" fillId="47" borderId="10" xfId="104" applyNumberFormat="1" applyFont="1" applyFill="1" applyBorder="1" applyAlignment="1">
      <alignment horizontal="left" vertical="center"/>
    </xf>
    <xf numFmtId="180" fontId="38" fillId="46" borderId="10" xfId="101" applyNumberFormat="1" applyFont="1" applyFill="1" applyBorder="1" applyAlignment="1">
      <alignment horizontal="center" vertical="center"/>
    </xf>
    <xf numFmtId="180" fontId="38" fillId="46" borderId="10" xfId="105" applyNumberFormat="1" applyFont="1" applyFill="1" applyBorder="1" applyAlignment="1">
      <alignment horizontal="center" vertical="center"/>
    </xf>
    <xf numFmtId="180" fontId="38" fillId="46" borderId="10" xfId="104" applyNumberFormat="1" applyFont="1" applyFill="1" applyBorder="1" applyAlignment="1">
      <alignment horizontal="center" vertical="center"/>
    </xf>
    <xf numFmtId="0" fontId="38" fillId="46" borderId="10" xfId="104" applyFont="1" applyFill="1" applyBorder="1" applyAlignment="1">
      <alignment horizontal="left" vertical="center"/>
    </xf>
    <xf numFmtId="178" fontId="38" fillId="46" borderId="10" xfId="1" applyNumberFormat="1" applyFont="1" applyFill="1" applyBorder="1" applyAlignment="1">
      <alignment horizontal="center" vertical="center"/>
    </xf>
    <xf numFmtId="14" fontId="38" fillId="46" borderId="10" xfId="104" applyNumberFormat="1" applyFont="1" applyFill="1" applyBorder="1" applyAlignment="1">
      <alignment horizontal="left" vertical="center"/>
    </xf>
    <xf numFmtId="177" fontId="38" fillId="0" borderId="10" xfId="101" quotePrefix="1" applyNumberFormat="1" applyFont="1" applyBorder="1" applyAlignment="1">
      <alignment horizontal="center" vertical="center"/>
    </xf>
    <xf numFmtId="177" fontId="38" fillId="46" borderId="10" xfId="101" quotePrefix="1" applyNumberFormat="1" applyFont="1" applyFill="1" applyBorder="1" applyAlignment="1">
      <alignment horizontal="center" vertical="center"/>
    </xf>
    <xf numFmtId="0" fontId="56" fillId="46" borderId="10" xfId="104" applyFont="1" applyFill="1" applyBorder="1" applyAlignment="1">
      <alignment horizontal="center" vertical="center"/>
    </xf>
    <xf numFmtId="0" fontId="56" fillId="46" borderId="10" xfId="101" applyFont="1" applyFill="1" applyBorder="1" applyAlignment="1">
      <alignment horizontal="center" vertical="center"/>
    </xf>
    <xf numFmtId="0" fontId="56" fillId="46" borderId="10" xfId="104" applyFont="1" applyFill="1" applyBorder="1" applyAlignment="1">
      <alignment horizontal="left" vertical="center"/>
    </xf>
    <xf numFmtId="177" fontId="56" fillId="46" borderId="10" xfId="104" applyNumberFormat="1" applyFont="1" applyFill="1" applyBorder="1" applyAlignment="1">
      <alignment horizontal="center" vertical="center"/>
    </xf>
    <xf numFmtId="177" fontId="56" fillId="46" borderId="10" xfId="105" applyNumberFormat="1" applyFont="1" applyFill="1" applyBorder="1" applyAlignment="1">
      <alignment horizontal="center" vertical="center"/>
    </xf>
    <xf numFmtId="38" fontId="56" fillId="46" borderId="10" xfId="105" applyFont="1" applyFill="1" applyBorder="1">
      <alignment vertical="center"/>
    </xf>
    <xf numFmtId="14" fontId="56" fillId="46" borderId="10" xfId="104" applyNumberFormat="1" applyFont="1" applyFill="1" applyBorder="1" applyAlignment="1">
      <alignment horizontal="left" vertical="center"/>
    </xf>
    <xf numFmtId="177" fontId="38" fillId="46" borderId="0" xfId="105" applyNumberFormat="1" applyFont="1" applyFill="1" applyBorder="1" applyAlignment="1">
      <alignment horizontal="center" vertical="center"/>
    </xf>
    <xf numFmtId="178" fontId="38" fillId="0" borderId="10" xfId="1" applyNumberFormat="1" applyFont="1" applyBorder="1" applyAlignment="1">
      <alignment horizontal="center" vertical="center"/>
    </xf>
    <xf numFmtId="177" fontId="38" fillId="46" borderId="10" xfId="104" applyNumberFormat="1" applyFont="1" applyFill="1" applyBorder="1" applyAlignment="1">
      <alignment horizontal="center" vertical="center" wrapText="1"/>
    </xf>
    <xf numFmtId="180" fontId="38" fillId="0" borderId="10" xfId="104" applyNumberFormat="1" applyFont="1" applyBorder="1" applyAlignment="1">
      <alignment horizontal="center" vertical="center"/>
    </xf>
    <xf numFmtId="177" fontId="38" fillId="0" borderId="10" xfId="104" applyNumberFormat="1" applyFont="1" applyBorder="1" applyAlignment="1">
      <alignment horizontal="center" vertical="center" wrapText="1"/>
    </xf>
    <xf numFmtId="178" fontId="38" fillId="47" borderId="10" xfId="1" applyNumberFormat="1" applyFont="1" applyFill="1" applyBorder="1" applyAlignment="1">
      <alignment horizontal="center" vertical="center"/>
    </xf>
    <xf numFmtId="14" fontId="41" fillId="47" borderId="10" xfId="104" applyNumberFormat="1" applyFont="1" applyFill="1" applyBorder="1" applyAlignment="1">
      <alignment horizontal="left" vertical="center"/>
    </xf>
    <xf numFmtId="177" fontId="38" fillId="47" borderId="10" xfId="104" applyNumberFormat="1" applyFont="1" applyFill="1" applyBorder="1" applyAlignment="1">
      <alignment horizontal="left" vertical="center"/>
    </xf>
    <xf numFmtId="14" fontId="38" fillId="46" borderId="10" xfId="104" applyNumberFormat="1" applyFont="1" applyFill="1" applyBorder="1" applyAlignment="1">
      <alignment horizontal="left" vertical="center" wrapText="1"/>
    </xf>
    <xf numFmtId="38" fontId="56" fillId="47" borderId="10" xfId="105" applyFont="1" applyFill="1" applyBorder="1">
      <alignment vertical="center"/>
    </xf>
    <xf numFmtId="177" fontId="56" fillId="47" borderId="79" xfId="105" applyNumberFormat="1" applyFont="1" applyFill="1" applyBorder="1" applyAlignment="1">
      <alignment horizontal="center" vertical="center"/>
    </xf>
    <xf numFmtId="38" fontId="56" fillId="47" borderId="79" xfId="105" applyFont="1" applyFill="1" applyBorder="1">
      <alignment vertical="center"/>
    </xf>
    <xf numFmtId="177" fontId="56" fillId="47" borderId="15" xfId="105" applyNumberFormat="1" applyFont="1" applyFill="1" applyBorder="1" applyAlignment="1">
      <alignment horizontal="center" vertical="center"/>
    </xf>
    <xf numFmtId="0" fontId="56" fillId="47" borderId="11" xfId="104" applyFont="1" applyFill="1" applyBorder="1" applyAlignment="1">
      <alignment horizontal="center" vertical="center"/>
    </xf>
    <xf numFmtId="14" fontId="56" fillId="47" borderId="10" xfId="104" applyNumberFormat="1" applyFont="1" applyFill="1" applyBorder="1" applyAlignment="1">
      <alignment horizontal="left" vertical="center" wrapText="1"/>
    </xf>
    <xf numFmtId="177" fontId="56" fillId="46" borderId="15" xfId="105" applyNumberFormat="1" applyFont="1" applyFill="1" applyBorder="1" applyAlignment="1">
      <alignment horizontal="center" vertical="center"/>
    </xf>
    <xf numFmtId="0" fontId="56" fillId="46" borderId="11" xfId="104" applyFont="1" applyFill="1" applyBorder="1" applyAlignment="1">
      <alignment horizontal="center" vertical="center"/>
    </xf>
    <xf numFmtId="177" fontId="56" fillId="47" borderId="80" xfId="105" applyNumberFormat="1" applyFont="1" applyFill="1" applyBorder="1" applyAlignment="1">
      <alignment horizontal="center" vertical="center"/>
    </xf>
    <xf numFmtId="38" fontId="56" fillId="47" borderId="80" xfId="105" applyFont="1" applyFill="1" applyBorder="1">
      <alignment vertical="center"/>
    </xf>
    <xf numFmtId="177" fontId="41" fillId="47" borderId="10" xfId="104" applyNumberFormat="1" applyFont="1" applyFill="1" applyBorder="1" applyAlignment="1">
      <alignment horizontal="center" vertical="center"/>
    </xf>
    <xf numFmtId="177" fontId="38" fillId="0" borderId="11" xfId="104" applyNumberFormat="1" applyFont="1" applyBorder="1" applyAlignment="1">
      <alignment horizontal="center" vertical="center"/>
    </xf>
    <xf numFmtId="177" fontId="38" fillId="47" borderId="11" xfId="104" applyNumberFormat="1" applyFont="1" applyFill="1" applyBorder="1" applyAlignment="1">
      <alignment horizontal="center" vertical="center"/>
    </xf>
    <xf numFmtId="38" fontId="56" fillId="48" borderId="10" xfId="105" applyFont="1" applyFill="1" applyBorder="1">
      <alignment vertical="center"/>
    </xf>
    <xf numFmtId="177" fontId="38" fillId="47" borderId="10" xfId="104" applyNumberFormat="1" applyFont="1" applyFill="1" applyBorder="1" applyAlignment="1">
      <alignment horizontal="center" vertical="center" wrapText="1"/>
    </xf>
    <xf numFmtId="0" fontId="57" fillId="46" borderId="0" xfId="0" applyFont="1" applyFill="1">
      <alignment vertical="center"/>
    </xf>
    <xf numFmtId="177" fontId="56" fillId="47" borderId="10" xfId="104" applyNumberFormat="1" applyFont="1" applyFill="1" applyBorder="1" applyAlignment="1">
      <alignment horizontal="left" vertical="center"/>
    </xf>
    <xf numFmtId="14" fontId="56" fillId="49" borderId="10" xfId="104" applyNumberFormat="1" applyFont="1" applyFill="1" applyBorder="1" applyAlignment="1">
      <alignment horizontal="left" vertical="center" wrapText="1"/>
    </xf>
    <xf numFmtId="177" fontId="56" fillId="0" borderId="10" xfId="105" quotePrefix="1" applyNumberFormat="1" applyFont="1" applyFill="1" applyBorder="1" applyAlignment="1">
      <alignment horizontal="center" vertical="center"/>
    </xf>
    <xf numFmtId="14" fontId="41" fillId="49" borderId="10" xfId="104" applyNumberFormat="1" applyFont="1" applyFill="1" applyBorder="1" applyAlignment="1">
      <alignment horizontal="left" vertical="center" wrapText="1"/>
    </xf>
    <xf numFmtId="181" fontId="56" fillId="47" borderId="10" xfId="104" applyNumberFormat="1" applyFont="1" applyFill="1" applyBorder="1" applyAlignment="1">
      <alignment horizontal="left" vertical="center"/>
    </xf>
    <xf numFmtId="181" fontId="38" fillId="47" borderId="10" xfId="104" applyNumberFormat="1" applyFont="1" applyFill="1" applyBorder="1" applyAlignment="1">
      <alignment horizontal="left" vertical="center"/>
    </xf>
    <xf numFmtId="0" fontId="60" fillId="0" borderId="0" xfId="0" applyFont="1">
      <alignment vertical="center"/>
    </xf>
    <xf numFmtId="14" fontId="60" fillId="0" borderId="0" xfId="0" applyNumberFormat="1" applyFont="1">
      <alignment vertical="center"/>
    </xf>
    <xf numFmtId="0" fontId="61" fillId="0" borderId="0" xfId="0" applyFont="1">
      <alignment vertical="center"/>
    </xf>
    <xf numFmtId="0" fontId="61" fillId="40" borderId="0" xfId="0" applyFont="1" applyFill="1">
      <alignment vertical="center"/>
    </xf>
    <xf numFmtId="0" fontId="62" fillId="0" borderId="0" xfId="107" applyFont="1" applyAlignment="1">
      <alignment horizontal="center" vertical="center"/>
    </xf>
    <xf numFmtId="0" fontId="66" fillId="50" borderId="0" xfId="107" applyFont="1" applyFill="1" applyAlignment="1">
      <alignment horizontal="left" vertical="center"/>
    </xf>
    <xf numFmtId="0" fontId="61" fillId="50" borderId="0" xfId="0" applyFont="1" applyFill="1">
      <alignment vertical="center"/>
    </xf>
    <xf numFmtId="3" fontId="64" fillId="0" borderId="10" xfId="107" applyNumberFormat="1" applyFont="1" applyBorder="1" applyAlignment="1">
      <alignment horizontal="center" vertical="center"/>
    </xf>
    <xf numFmtId="0" fontId="70" fillId="51" borderId="15" xfId="107" applyFont="1" applyFill="1" applyBorder="1" applyAlignment="1">
      <alignment horizontal="center" vertical="center"/>
    </xf>
    <xf numFmtId="0" fontId="70" fillId="51" borderId="12" xfId="107" applyFont="1" applyFill="1" applyBorder="1" applyAlignment="1">
      <alignment horizontal="center" vertical="center"/>
    </xf>
    <xf numFmtId="0" fontId="70" fillId="51" borderId="11" xfId="107" applyFont="1" applyFill="1" applyBorder="1" applyAlignment="1">
      <alignment horizontal="center" vertical="center"/>
    </xf>
    <xf numFmtId="182" fontId="67" fillId="0" borderId="0" xfId="107" applyNumberFormat="1" applyFont="1" applyAlignment="1">
      <alignment vertical="center"/>
    </xf>
    <xf numFmtId="0" fontId="61" fillId="0" borderId="13" xfId="0" applyFont="1" applyBorder="1">
      <alignment vertical="center"/>
    </xf>
    <xf numFmtId="0" fontId="63" fillId="0" borderId="0" xfId="107" applyFont="1" applyAlignment="1">
      <alignment vertical="center"/>
    </xf>
    <xf numFmtId="0" fontId="63" fillId="50" borderId="0" xfId="107" applyFont="1" applyFill="1" applyAlignment="1">
      <alignment vertical="center"/>
    </xf>
    <xf numFmtId="0" fontId="70" fillId="0" borderId="0" xfId="0" applyFont="1">
      <alignment vertical="center"/>
    </xf>
    <xf numFmtId="0" fontId="70" fillId="40" borderId="0" xfId="0" applyFont="1" applyFill="1">
      <alignment vertical="center"/>
    </xf>
    <xf numFmtId="0" fontId="69" fillId="0" borderId="0" xfId="107" applyFont="1" applyAlignment="1">
      <alignment vertical="center"/>
    </xf>
    <xf numFmtId="0" fontId="70" fillId="0" borderId="13" xfId="0" applyFont="1" applyBorder="1">
      <alignment vertical="center"/>
    </xf>
    <xf numFmtId="182" fontId="64" fillId="0" borderId="0" xfId="107" applyNumberFormat="1" applyFont="1" applyAlignment="1">
      <alignment vertical="center"/>
    </xf>
    <xf numFmtId="0" fontId="78" fillId="0" borderId="0" xfId="107" applyFont="1" applyAlignment="1">
      <alignment horizontal="center" vertical="center"/>
    </xf>
    <xf numFmtId="0" fontId="69" fillId="50" borderId="0" xfId="107" applyFont="1" applyFill="1" applyAlignment="1">
      <alignment vertical="center"/>
    </xf>
    <xf numFmtId="0" fontId="70" fillId="50" borderId="0" xfId="0" applyFont="1" applyFill="1">
      <alignment vertical="center"/>
    </xf>
    <xf numFmtId="3" fontId="64" fillId="52" borderId="10" xfId="107" applyNumberFormat="1" applyFont="1" applyFill="1" applyBorder="1" applyAlignment="1">
      <alignment horizontal="center" vertical="center"/>
    </xf>
    <xf numFmtId="0" fontId="76" fillId="53" borderId="10" xfId="107" applyFont="1" applyFill="1" applyBorder="1" applyAlignment="1">
      <alignment vertical="center"/>
    </xf>
    <xf numFmtId="0" fontId="38" fillId="47" borderId="0" xfId="104" applyFont="1" applyFill="1" applyAlignment="1">
      <alignment horizontal="center" vertical="center"/>
    </xf>
    <xf numFmtId="0" fontId="38" fillId="47" borderId="0" xfId="104" applyFont="1" applyFill="1" applyAlignment="1">
      <alignment horizontal="left" vertical="center"/>
    </xf>
    <xf numFmtId="177" fontId="38" fillId="47" borderId="0" xfId="104" applyNumberFormat="1" applyFont="1" applyFill="1" applyAlignment="1">
      <alignment horizontal="center" vertical="center"/>
    </xf>
    <xf numFmtId="177" fontId="38" fillId="47" borderId="0" xfId="105" applyNumberFormat="1" applyFont="1" applyFill="1" applyBorder="1" applyAlignment="1">
      <alignment horizontal="center" vertical="center"/>
    </xf>
    <xf numFmtId="38" fontId="38" fillId="47" borderId="0" xfId="105" applyFont="1" applyFill="1" applyBorder="1">
      <alignment vertical="center"/>
    </xf>
    <xf numFmtId="181" fontId="38" fillId="47" borderId="0" xfId="104" applyNumberFormat="1" applyFont="1" applyFill="1" applyAlignment="1">
      <alignment horizontal="left" vertical="center"/>
    </xf>
    <xf numFmtId="177" fontId="38" fillId="47" borderId="0" xfId="104" applyNumberFormat="1" applyFont="1" applyFill="1" applyAlignment="1">
      <alignment horizontal="left" vertical="center"/>
    </xf>
    <xf numFmtId="0" fontId="38" fillId="0" borderId="0" xfId="104" applyFont="1" applyAlignment="1">
      <alignment horizontal="center" vertical="center"/>
    </xf>
    <xf numFmtId="0" fontId="38" fillId="0" borderId="0" xfId="104" applyFont="1" applyAlignment="1">
      <alignment horizontal="left" vertical="center"/>
    </xf>
    <xf numFmtId="177" fontId="38" fillId="0" borderId="0" xfId="104" applyNumberFormat="1" applyFont="1" applyAlignment="1">
      <alignment horizontal="center" vertical="center"/>
    </xf>
    <xf numFmtId="177" fontId="38" fillId="0" borderId="0" xfId="105" applyNumberFormat="1" applyFont="1" applyFill="1" applyBorder="1" applyAlignment="1">
      <alignment horizontal="center" vertical="center"/>
    </xf>
    <xf numFmtId="38" fontId="38" fillId="0" borderId="0" xfId="105" applyFont="1" applyFill="1" applyBorder="1">
      <alignment vertical="center"/>
    </xf>
    <xf numFmtId="181" fontId="38" fillId="0" borderId="0" xfId="104" applyNumberFormat="1" applyFont="1" applyAlignment="1">
      <alignment horizontal="left" vertical="center"/>
    </xf>
    <xf numFmtId="177" fontId="38" fillId="0" borderId="0" xfId="104" applyNumberFormat="1" applyFont="1" applyAlignment="1">
      <alignment horizontal="left" vertical="center"/>
    </xf>
    <xf numFmtId="0" fontId="38" fillId="36" borderId="15" xfId="0" applyFont="1" applyFill="1" applyBorder="1" applyAlignment="1">
      <alignment horizontal="center" vertical="center"/>
    </xf>
    <xf numFmtId="0" fontId="38" fillId="36" borderId="12" xfId="0" applyFont="1" applyFill="1" applyBorder="1" applyAlignment="1">
      <alignment horizontal="center" vertical="center"/>
    </xf>
    <xf numFmtId="0" fontId="38" fillId="36" borderId="11" xfId="0" applyFont="1" applyFill="1" applyBorder="1" applyAlignment="1">
      <alignment horizontal="center" vertical="center"/>
    </xf>
    <xf numFmtId="177" fontId="36" fillId="35" borderId="15" xfId="1" applyNumberFormat="1" applyFont="1" applyFill="1" applyBorder="1" applyAlignment="1">
      <alignment horizontal="center" vertical="center" wrapText="1"/>
    </xf>
    <xf numFmtId="177" fontId="36" fillId="35" borderId="12" xfId="1" applyNumberFormat="1" applyFont="1" applyFill="1" applyBorder="1" applyAlignment="1">
      <alignment horizontal="center" vertical="center" wrapText="1"/>
    </xf>
    <xf numFmtId="177" fontId="36" fillId="35" borderId="11" xfId="1" applyNumberFormat="1" applyFont="1" applyFill="1" applyBorder="1" applyAlignment="1">
      <alignment horizontal="center" vertical="center" wrapText="1"/>
    </xf>
    <xf numFmtId="3" fontId="81" fillId="0" borderId="83" xfId="107" applyNumberFormat="1" applyFont="1" applyBorder="1" applyAlignment="1">
      <alignment horizontal="center" vertical="center"/>
    </xf>
    <xf numFmtId="3" fontId="81" fillId="0" borderId="84" xfId="107" applyNumberFormat="1" applyFont="1" applyBorder="1" applyAlignment="1">
      <alignment horizontal="center" vertical="center"/>
    </xf>
    <xf numFmtId="3" fontId="81" fillId="0" borderId="86" xfId="107" applyNumberFormat="1" applyFont="1" applyBorder="1" applyAlignment="1">
      <alignment horizontal="center" vertical="center"/>
    </xf>
    <xf numFmtId="3" fontId="81" fillId="0" borderId="85" xfId="107" applyNumberFormat="1" applyFont="1" applyBorder="1" applyAlignment="1">
      <alignment horizontal="center" vertical="center"/>
    </xf>
    <xf numFmtId="182" fontId="71" fillId="0" borderId="15" xfId="107" applyNumberFormat="1" applyFont="1" applyBorder="1" applyAlignment="1">
      <alignment horizontal="left" vertical="center" indent="1"/>
    </xf>
    <xf numFmtId="182" fontId="71" fillId="0" borderId="12" xfId="107" applyNumberFormat="1" applyFont="1" applyBorder="1" applyAlignment="1">
      <alignment horizontal="left" vertical="center" indent="1"/>
    </xf>
    <xf numFmtId="182" fontId="71" fillId="0" borderId="11" xfId="107" applyNumberFormat="1" applyFont="1" applyBorder="1" applyAlignment="1">
      <alignment horizontal="left" vertical="center" indent="1"/>
    </xf>
    <xf numFmtId="0" fontId="64" fillId="0" borderId="10" xfId="107" applyFont="1" applyBorder="1" applyAlignment="1">
      <alignment horizontal="left" vertical="center" indent="1"/>
    </xf>
    <xf numFmtId="0" fontId="69" fillId="0" borderId="0" xfId="107" applyFont="1" applyAlignment="1">
      <alignment vertical="center"/>
    </xf>
    <xf numFmtId="0" fontId="78" fillId="0" borderId="0" xfId="107" applyFont="1" applyAlignment="1">
      <alignment horizontal="center" vertical="center"/>
    </xf>
    <xf numFmtId="0" fontId="64" fillId="52" borderId="10" xfId="107" applyFont="1" applyFill="1" applyBorder="1" applyAlignment="1">
      <alignment horizontal="left" vertical="center" indent="1"/>
    </xf>
    <xf numFmtId="0" fontId="69" fillId="51" borderId="10" xfId="107" applyFont="1" applyFill="1" applyBorder="1" applyAlignment="1">
      <alignment horizontal="left" vertical="center" indent="1"/>
    </xf>
    <xf numFmtId="0" fontId="64" fillId="0" borderId="19" xfId="107" applyFont="1" applyBorder="1" applyAlignment="1">
      <alignment horizontal="left" vertical="center" wrapText="1"/>
    </xf>
    <xf numFmtId="0" fontId="64" fillId="0" borderId="0" xfId="107" applyFont="1" applyAlignment="1">
      <alignment horizontal="left" vertical="center" wrapText="1"/>
    </xf>
    <xf numFmtId="0" fontId="64" fillId="0" borderId="20" xfId="107" applyFont="1" applyBorder="1" applyAlignment="1">
      <alignment horizontal="left" vertical="center" wrapText="1"/>
    </xf>
    <xf numFmtId="0" fontId="64" fillId="0" borderId="24" xfId="107" applyFont="1" applyBorder="1" applyAlignment="1">
      <alignment horizontal="left" vertical="center" wrapText="1"/>
    </xf>
    <xf numFmtId="0" fontId="64" fillId="0" borderId="13" xfId="107" applyFont="1" applyBorder="1" applyAlignment="1">
      <alignment horizontal="left" vertical="center" wrapText="1"/>
    </xf>
    <xf numFmtId="0" fontId="64" fillId="0" borderId="14" xfId="107" applyFont="1" applyBorder="1" applyAlignment="1">
      <alignment horizontal="left" vertical="center" wrapText="1"/>
    </xf>
    <xf numFmtId="0" fontId="66" fillId="51" borderId="80" xfId="107" applyFont="1" applyFill="1" applyBorder="1" applyAlignment="1">
      <alignment horizontal="center" vertical="center" wrapText="1"/>
    </xf>
    <xf numFmtId="0" fontId="66" fillId="51" borderId="10" xfId="107" applyFont="1" applyFill="1" applyBorder="1" applyAlignment="1">
      <alignment horizontal="center" vertical="center" wrapText="1"/>
    </xf>
    <xf numFmtId="0" fontId="72" fillId="53" borderId="10" xfId="107" applyFont="1" applyFill="1" applyBorder="1" applyAlignment="1">
      <alignment horizontal="center" vertical="center"/>
    </xf>
    <xf numFmtId="0" fontId="72" fillId="53" borderId="88" xfId="107" applyFont="1" applyFill="1" applyBorder="1" applyAlignment="1">
      <alignment horizontal="center" vertical="center"/>
    </xf>
    <xf numFmtId="3" fontId="64" fillId="52" borderId="10" xfId="107" applyNumberFormat="1" applyFont="1" applyFill="1" applyBorder="1" applyAlignment="1">
      <alignment horizontal="right" vertical="center"/>
    </xf>
    <xf numFmtId="3" fontId="64" fillId="52" borderId="88" xfId="107" applyNumberFormat="1" applyFont="1" applyFill="1" applyBorder="1" applyAlignment="1">
      <alignment horizontal="right" vertical="center"/>
    </xf>
    <xf numFmtId="3" fontId="64" fillId="0" borderId="10" xfId="107" applyNumberFormat="1" applyFont="1" applyBorder="1" applyAlignment="1">
      <alignment horizontal="right" vertical="center"/>
    </xf>
    <xf numFmtId="3" fontId="64" fillId="0" borderId="88" xfId="107" applyNumberFormat="1" applyFont="1" applyBorder="1" applyAlignment="1">
      <alignment horizontal="right" vertical="center"/>
    </xf>
    <xf numFmtId="0" fontId="70" fillId="51" borderId="87" xfId="107" applyFont="1" applyFill="1" applyBorder="1" applyAlignment="1">
      <alignment horizontal="center" vertical="center"/>
    </xf>
    <xf numFmtId="0" fontId="70" fillId="51" borderId="17" xfId="107" applyFont="1" applyFill="1" applyBorder="1" applyAlignment="1">
      <alignment horizontal="center" vertical="center"/>
    </xf>
    <xf numFmtId="0" fontId="70" fillId="51" borderId="18" xfId="107" applyFont="1" applyFill="1" applyBorder="1" applyAlignment="1">
      <alignment horizontal="center" vertical="center"/>
    </xf>
    <xf numFmtId="0" fontId="70" fillId="51" borderId="89" xfId="107" applyFont="1" applyFill="1" applyBorder="1" applyAlignment="1">
      <alignment horizontal="center" vertical="center"/>
    </xf>
    <xf numFmtId="0" fontId="70" fillId="51" borderId="0" xfId="107" applyFont="1" applyFill="1" applyAlignment="1">
      <alignment horizontal="center" vertical="center"/>
    </xf>
    <xf numFmtId="0" fontId="70" fillId="51" borderId="20" xfId="107" applyFont="1" applyFill="1" applyBorder="1" applyAlignment="1">
      <alignment horizontal="center" vertical="center"/>
    </xf>
    <xf numFmtId="0" fontId="70" fillId="51" borderId="90" xfId="107" applyFont="1" applyFill="1" applyBorder="1" applyAlignment="1">
      <alignment horizontal="center" vertical="center"/>
    </xf>
    <xf numFmtId="0" fontId="70" fillId="51" borderId="91" xfId="107" applyFont="1" applyFill="1" applyBorder="1" applyAlignment="1">
      <alignment horizontal="center" vertical="center"/>
    </xf>
    <xf numFmtId="0" fontId="70" fillId="51" borderId="92" xfId="107" applyFont="1" applyFill="1" applyBorder="1" applyAlignment="1">
      <alignment horizontal="center" vertical="center"/>
    </xf>
    <xf numFmtId="3" fontId="64" fillId="44" borderId="10" xfId="107" applyNumberFormat="1" applyFont="1" applyFill="1" applyBorder="1" applyAlignment="1">
      <alignment horizontal="center" vertical="center"/>
    </xf>
    <xf numFmtId="3" fontId="64" fillId="52" borderId="10" xfId="107" applyNumberFormat="1" applyFont="1" applyFill="1" applyBorder="1" applyAlignment="1">
      <alignment horizontal="center" vertical="center"/>
    </xf>
    <xf numFmtId="0" fontId="64" fillId="52" borderId="10" xfId="107" applyFont="1" applyFill="1" applyBorder="1" applyAlignment="1">
      <alignment horizontal="center" vertical="center"/>
    </xf>
    <xf numFmtId="0" fontId="64" fillId="44" borderId="10" xfId="107" applyFont="1" applyFill="1" applyBorder="1" applyAlignment="1">
      <alignment horizontal="center" vertical="center"/>
    </xf>
    <xf numFmtId="0" fontId="64" fillId="50" borderId="0" xfId="107" applyFont="1" applyFill="1" applyAlignment="1">
      <alignment horizontal="center" vertical="center"/>
    </xf>
    <xf numFmtId="0" fontId="69" fillId="50" borderId="0" xfId="107" applyFont="1" applyFill="1" applyAlignment="1">
      <alignment vertical="center"/>
    </xf>
    <xf numFmtId="0" fontId="79" fillId="50" borderId="0" xfId="107" applyFont="1" applyFill="1" applyAlignment="1">
      <alignment vertical="center"/>
    </xf>
    <xf numFmtId="0" fontId="64" fillId="0" borderId="79" xfId="107" applyFont="1" applyBorder="1" applyAlignment="1">
      <alignment horizontal="left" vertical="center" indent="1"/>
    </xf>
    <xf numFmtId="0" fontId="69" fillId="54" borderId="10" xfId="107" applyFont="1" applyFill="1" applyBorder="1" applyAlignment="1">
      <alignment vertical="center"/>
    </xf>
    <xf numFmtId="0" fontId="69" fillId="0" borderId="10" xfId="107" applyFont="1" applyBorder="1" applyAlignment="1">
      <alignment horizontal="left" vertical="center" indent="1"/>
    </xf>
    <xf numFmtId="0" fontId="72" fillId="53" borderId="15" xfId="107" applyFont="1" applyFill="1" applyBorder="1" applyAlignment="1">
      <alignment horizontal="center" vertical="center"/>
    </xf>
    <xf numFmtId="0" fontId="72" fillId="53" borderId="12" xfId="107" applyFont="1" applyFill="1" applyBorder="1" applyAlignment="1">
      <alignment horizontal="center" vertical="center"/>
    </xf>
    <xf numFmtId="0" fontId="72" fillId="53" borderId="11" xfId="107" applyFont="1" applyFill="1" applyBorder="1" applyAlignment="1">
      <alignment horizontal="center" vertical="center"/>
    </xf>
    <xf numFmtId="0" fontId="70" fillId="0" borderId="10" xfId="0" applyFont="1" applyBorder="1" applyAlignment="1">
      <alignment horizontal="center" vertical="center"/>
    </xf>
    <xf numFmtId="0" fontId="69" fillId="0" borderId="10" xfId="107" applyFont="1" applyBorder="1" applyAlignment="1">
      <alignment horizontal="center" vertical="center"/>
    </xf>
    <xf numFmtId="182" fontId="71" fillId="0" borderId="16" xfId="107" applyNumberFormat="1" applyFont="1" applyBorder="1" applyAlignment="1">
      <alignment horizontal="left" vertical="center" indent="1"/>
    </xf>
    <xf numFmtId="182" fontId="71" fillId="0" borderId="17" xfId="107" applyNumberFormat="1" applyFont="1" applyBorder="1" applyAlignment="1">
      <alignment horizontal="left" vertical="center" indent="1"/>
    </xf>
    <xf numFmtId="182" fontId="71" fillId="0" borderId="18" xfId="107" applyNumberFormat="1" applyFont="1" applyBorder="1" applyAlignment="1">
      <alignment horizontal="left" vertical="center" indent="1"/>
    </xf>
    <xf numFmtId="0" fontId="62" fillId="0" borderId="0" xfId="107" applyFont="1" applyAlignment="1">
      <alignment horizontal="center" vertical="center"/>
    </xf>
    <xf numFmtId="184" fontId="64" fillId="0" borderId="15" xfId="107" quotePrefix="1" applyNumberFormat="1" applyFont="1" applyBorder="1" applyAlignment="1">
      <alignment horizontal="left" vertical="center" indent="1"/>
    </xf>
    <xf numFmtId="184" fontId="64" fillId="0" borderId="12" xfId="107" applyNumberFormat="1" applyFont="1" applyBorder="1" applyAlignment="1">
      <alignment horizontal="left" vertical="center" indent="1"/>
    </xf>
    <xf numFmtId="184" fontId="64" fillId="0" borderId="11" xfId="107" applyNumberFormat="1" applyFont="1" applyBorder="1" applyAlignment="1">
      <alignment horizontal="left" vertical="center" indent="1"/>
    </xf>
    <xf numFmtId="0" fontId="64" fillId="0" borderId="15" xfId="107" applyFont="1" applyBorder="1" applyAlignment="1">
      <alignment horizontal="left" vertical="center" indent="1"/>
    </xf>
    <xf numFmtId="0" fontId="64" fillId="0" borderId="12" xfId="107" applyFont="1" applyBorder="1" applyAlignment="1">
      <alignment horizontal="left" vertical="center" indent="1"/>
    </xf>
    <xf numFmtId="0" fontId="64" fillId="0" borderId="11" xfId="107" applyFont="1" applyBorder="1" applyAlignment="1">
      <alignment horizontal="left" vertical="center" indent="1"/>
    </xf>
    <xf numFmtId="183" fontId="69" fillId="0" borderId="15" xfId="107" applyNumberFormat="1" applyFont="1" applyBorder="1" applyAlignment="1">
      <alignment horizontal="left" vertical="center" indent="1"/>
    </xf>
    <xf numFmtId="183" fontId="69" fillId="0" borderId="12" xfId="107" applyNumberFormat="1" applyFont="1" applyBorder="1" applyAlignment="1">
      <alignment horizontal="left" vertical="center" indent="1"/>
    </xf>
    <xf numFmtId="183" fontId="69" fillId="0" borderId="11" xfId="107" applyNumberFormat="1" applyFont="1" applyBorder="1" applyAlignment="1">
      <alignment horizontal="left" vertical="center" indent="1"/>
    </xf>
    <xf numFmtId="49" fontId="69" fillId="0" borderId="15" xfId="107" applyNumberFormat="1" applyFont="1" applyBorder="1" applyAlignment="1">
      <alignment horizontal="left" vertical="center" indent="1"/>
    </xf>
    <xf numFmtId="49" fontId="69" fillId="0" borderId="12" xfId="107" applyNumberFormat="1" applyFont="1" applyBorder="1" applyAlignment="1">
      <alignment horizontal="left" vertical="center" indent="1"/>
    </xf>
    <xf numFmtId="49" fontId="69" fillId="0" borderId="11" xfId="107" applyNumberFormat="1" applyFont="1" applyBorder="1" applyAlignment="1">
      <alignment horizontal="left" vertical="center" indent="1"/>
    </xf>
    <xf numFmtId="0" fontId="77" fillId="0" borderId="13" xfId="107" applyFont="1" applyBorder="1" applyAlignment="1">
      <alignment horizontal="left" vertical="center"/>
    </xf>
    <xf numFmtId="0" fontId="64" fillId="51" borderId="10" xfId="107" applyFont="1" applyFill="1" applyBorder="1" applyAlignment="1">
      <alignment horizontal="center" vertical="center"/>
    </xf>
    <xf numFmtId="0" fontId="64" fillId="51" borderId="93" xfId="107" applyFont="1" applyFill="1" applyBorder="1" applyAlignment="1">
      <alignment horizontal="center" vertical="center"/>
    </xf>
    <xf numFmtId="3" fontId="64" fillId="0" borderId="10" xfId="0" applyNumberFormat="1" applyFont="1" applyBorder="1" applyAlignment="1">
      <alignment horizontal="right" vertical="center"/>
    </xf>
    <xf numFmtId="0" fontId="64" fillId="0" borderId="10" xfId="0" applyFont="1" applyBorder="1" applyAlignment="1">
      <alignment horizontal="right" vertical="center"/>
    </xf>
    <xf numFmtId="0" fontId="64" fillId="0" borderId="88" xfId="0" applyFont="1" applyBorder="1" applyAlignment="1">
      <alignment horizontal="right" vertical="center"/>
    </xf>
    <xf numFmtId="3" fontId="80" fillId="0" borderId="93" xfId="0" applyNumberFormat="1" applyFont="1" applyBorder="1" applyAlignment="1">
      <alignment horizontal="right" vertical="center"/>
    </xf>
    <xf numFmtId="0" fontId="80" fillId="0" borderId="93" xfId="0" applyFont="1" applyBorder="1" applyAlignment="1">
      <alignment horizontal="right" vertical="center"/>
    </xf>
    <xf numFmtId="0" fontId="80" fillId="0" borderId="94" xfId="0" applyFont="1" applyBorder="1" applyAlignment="1">
      <alignment horizontal="right" vertical="center"/>
    </xf>
    <xf numFmtId="0" fontId="70" fillId="0" borderId="19" xfId="0" applyFont="1" applyBorder="1" applyAlignment="1">
      <alignment horizontal="center" vertical="center"/>
    </xf>
    <xf numFmtId="0" fontId="70" fillId="0" borderId="0" xfId="0" applyFont="1" applyAlignment="1">
      <alignment horizontal="center" vertical="center"/>
    </xf>
    <xf numFmtId="0" fontId="79" fillId="0" borderId="10" xfId="107" applyFont="1" applyBorder="1" applyAlignment="1">
      <alignment horizontal="center" vertical="center"/>
    </xf>
    <xf numFmtId="0" fontId="54" fillId="0" borderId="10" xfId="107" applyFont="1" applyBorder="1" applyAlignment="1">
      <alignment horizontal="center" vertical="center"/>
    </xf>
    <xf numFmtId="0" fontId="43" fillId="0" borderId="11" xfId="107" applyBorder="1"/>
    <xf numFmtId="0" fontId="43" fillId="0" borderId="12" xfId="107" applyBorder="1"/>
    <xf numFmtId="0" fontId="43" fillId="0" borderId="10" xfId="107" applyBorder="1"/>
    <xf numFmtId="0" fontId="53" fillId="0" borderId="13" xfId="107" applyFont="1" applyBorder="1" applyAlignment="1">
      <alignment horizontal="center" vertical="center"/>
    </xf>
    <xf numFmtId="0" fontId="43" fillId="0" borderId="13" xfId="107" applyBorder="1"/>
    <xf numFmtId="0" fontId="48" fillId="0" borderId="10" xfId="107" applyFont="1" applyBorder="1" applyAlignment="1">
      <alignment horizontal="right" vertical="center"/>
    </xf>
    <xf numFmtId="3" fontId="48" fillId="42" borderId="55" xfId="107" applyNumberFormat="1" applyFont="1" applyFill="1" applyBorder="1" applyAlignment="1">
      <alignment horizontal="right" vertical="center"/>
    </xf>
    <xf numFmtId="0" fontId="43" fillId="0" borderId="54" xfId="107" applyBorder="1"/>
    <xf numFmtId="0" fontId="48" fillId="0" borderId="66" xfId="107" applyFont="1" applyBorder="1" applyAlignment="1">
      <alignment horizontal="right" vertical="center"/>
    </xf>
    <xf numFmtId="0" fontId="43" fillId="0" borderId="57" xfId="107" applyBorder="1"/>
    <xf numFmtId="0" fontId="43" fillId="0" borderId="58" xfId="107" applyBorder="1"/>
    <xf numFmtId="3" fontId="48" fillId="42" borderId="59" xfId="107" applyNumberFormat="1" applyFont="1" applyFill="1" applyBorder="1" applyAlignment="1">
      <alignment horizontal="right" vertical="center"/>
    </xf>
    <xf numFmtId="0" fontId="43" fillId="0" borderId="60" xfId="107" applyBorder="1"/>
    <xf numFmtId="0" fontId="47" fillId="0" borderId="70" xfId="107" applyFont="1" applyBorder="1" applyAlignment="1">
      <alignment horizontal="left" vertical="top" wrapText="1"/>
    </xf>
    <xf numFmtId="0" fontId="43" fillId="0" borderId="68" xfId="107" applyBorder="1"/>
    <xf numFmtId="0" fontId="43" fillId="0" borderId="71" xfId="107" applyBorder="1"/>
    <xf numFmtId="0" fontId="43" fillId="0" borderId="19" xfId="107" applyBorder="1"/>
    <xf numFmtId="0" fontId="43" fillId="0" borderId="0" xfId="107"/>
    <xf numFmtId="0" fontId="43" fillId="0" borderId="72" xfId="107" applyBorder="1"/>
    <xf numFmtId="0" fontId="43" fillId="0" borderId="77" xfId="107" applyBorder="1"/>
    <xf numFmtId="0" fontId="43" fillId="0" borderId="75" xfId="107" applyBorder="1"/>
    <xf numFmtId="0" fontId="43" fillId="0" borderId="78" xfId="107" applyBorder="1"/>
    <xf numFmtId="0" fontId="47" fillId="0" borderId="0" xfId="107" applyFont="1" applyAlignment="1">
      <alignment horizontal="left" vertical="center"/>
    </xf>
    <xf numFmtId="0" fontId="53" fillId="0" borderId="0" xfId="107" applyFont="1" applyAlignment="1">
      <alignment horizontal="right" vertical="center"/>
    </xf>
    <xf numFmtId="0" fontId="53" fillId="0" borderId="0" xfId="107" applyFont="1"/>
    <xf numFmtId="0" fontId="51" fillId="0" borderId="67" xfId="107" applyFont="1" applyBorder="1" applyAlignment="1">
      <alignment horizontal="center" vertical="center" wrapText="1"/>
    </xf>
    <xf numFmtId="0" fontId="51" fillId="0" borderId="68" xfId="107" applyFont="1" applyBorder="1" applyAlignment="1">
      <alignment horizontal="center" vertical="center" wrapText="1"/>
    </xf>
    <xf numFmtId="0" fontId="51" fillId="0" borderId="69" xfId="107" applyFont="1" applyBorder="1" applyAlignment="1">
      <alignment horizontal="center" vertical="center" wrapText="1"/>
    </xf>
    <xf numFmtId="0" fontId="51" fillId="0" borderId="73" xfId="107" applyFont="1" applyBorder="1" applyAlignment="1">
      <alignment horizontal="center" vertical="center" wrapText="1"/>
    </xf>
    <xf numFmtId="0" fontId="51" fillId="0" borderId="0" xfId="107" applyFont="1" applyAlignment="1">
      <alignment horizontal="center" vertical="center" wrapText="1"/>
    </xf>
    <xf numFmtId="0" fontId="51" fillId="0" borderId="20" xfId="107" applyFont="1" applyBorder="1" applyAlignment="1">
      <alignment horizontal="center" vertical="center" wrapText="1"/>
    </xf>
    <xf numFmtId="0" fontId="51" fillId="0" borderId="74" xfId="107" applyFont="1" applyBorder="1" applyAlignment="1">
      <alignment horizontal="center" vertical="center" wrapText="1"/>
    </xf>
    <xf numFmtId="0" fontId="51" fillId="0" borderId="75" xfId="107" applyFont="1" applyBorder="1" applyAlignment="1">
      <alignment horizontal="center" vertical="center" wrapText="1"/>
    </xf>
    <xf numFmtId="0" fontId="51" fillId="0" borderId="76" xfId="107" applyFont="1" applyBorder="1" applyAlignment="1">
      <alignment horizontal="center" vertical="center" wrapText="1"/>
    </xf>
    <xf numFmtId="0" fontId="53" fillId="0" borderId="63" xfId="107" applyFont="1" applyBorder="1" applyAlignment="1">
      <alignment horizontal="left" vertical="center"/>
    </xf>
    <xf numFmtId="0" fontId="43" fillId="0" borderId="61" xfId="107" applyBorder="1"/>
    <xf numFmtId="0" fontId="43" fillId="0" borderId="62" xfId="107" applyBorder="1"/>
    <xf numFmtId="3" fontId="53" fillId="0" borderId="63" xfId="107" applyNumberFormat="1" applyFont="1" applyBorder="1" applyAlignment="1">
      <alignment horizontal="right" vertical="center"/>
    </xf>
    <xf numFmtId="3" fontId="53" fillId="0" borderId="64" xfId="107" applyNumberFormat="1" applyFont="1" applyBorder="1" applyAlignment="1">
      <alignment horizontal="right" vertical="center"/>
    </xf>
    <xf numFmtId="0" fontId="43" fillId="0" borderId="65" xfId="107" applyBorder="1"/>
    <xf numFmtId="0" fontId="53" fillId="44" borderId="63" xfId="107" applyFont="1" applyFill="1" applyBorder="1" applyAlignment="1">
      <alignment horizontal="left" vertical="center"/>
    </xf>
    <xf numFmtId="3" fontId="53" fillId="44" borderId="63" xfId="107" applyNumberFormat="1" applyFont="1" applyFill="1" applyBorder="1" applyAlignment="1">
      <alignment horizontal="right" vertical="center"/>
    </xf>
    <xf numFmtId="3" fontId="53" fillId="44" borderId="64" xfId="107" applyNumberFormat="1" applyFont="1" applyFill="1" applyBorder="1" applyAlignment="1">
      <alignment horizontal="right" vertical="center"/>
    </xf>
    <xf numFmtId="0" fontId="45" fillId="0" borderId="53" xfId="107" applyFont="1" applyBorder="1" applyAlignment="1">
      <alignment horizontal="center" vertical="center"/>
    </xf>
    <xf numFmtId="0" fontId="47" fillId="0" borderId="55" xfId="107" applyFont="1" applyBorder="1"/>
    <xf numFmtId="0" fontId="45" fillId="0" borderId="56" xfId="107" applyFont="1" applyBorder="1" applyAlignment="1">
      <alignment horizontal="center" vertical="center"/>
    </xf>
    <xf numFmtId="0" fontId="47" fillId="0" borderId="59" xfId="107" applyFont="1" applyBorder="1"/>
    <xf numFmtId="180" fontId="47" fillId="0" borderId="50" xfId="107" applyNumberFormat="1" applyFont="1" applyBorder="1" applyAlignment="1">
      <alignment horizontal="center" vertical="center"/>
    </xf>
    <xf numFmtId="0" fontId="43" fillId="0" borderId="49" xfId="107" applyBorder="1"/>
    <xf numFmtId="0" fontId="43" fillId="0" borderId="50" xfId="107" applyBorder="1"/>
    <xf numFmtId="180" fontId="47" fillId="0" borderId="52" xfId="107" applyNumberFormat="1" applyFont="1" applyBorder="1" applyAlignment="1">
      <alignment horizontal="center" vertical="center"/>
    </xf>
    <xf numFmtId="0" fontId="43" fillId="0" borderId="52" xfId="107" applyBorder="1"/>
    <xf numFmtId="0" fontId="51" fillId="0" borderId="51" xfId="107" applyFont="1" applyBorder="1" applyAlignment="1">
      <alignment horizontal="center" vertical="center"/>
    </xf>
    <xf numFmtId="0" fontId="51" fillId="0" borderId="49" xfId="107" applyFont="1" applyBorder="1" applyAlignment="1">
      <alignment horizontal="center" vertical="center"/>
    </xf>
    <xf numFmtId="0" fontId="45" fillId="0" borderId="67" xfId="107" applyFont="1" applyBorder="1" applyAlignment="1">
      <alignment horizontal="center" vertical="center"/>
    </xf>
    <xf numFmtId="0" fontId="45" fillId="0" borderId="68" xfId="107" applyFont="1" applyBorder="1" applyAlignment="1">
      <alignment horizontal="center" vertical="center"/>
    </xf>
    <xf numFmtId="0" fontId="45" fillId="0" borderId="69" xfId="107" applyFont="1" applyBorder="1" applyAlignment="1">
      <alignment horizontal="center" vertical="center"/>
    </xf>
    <xf numFmtId="0" fontId="45" fillId="0" borderId="73" xfId="107" applyFont="1" applyBorder="1" applyAlignment="1">
      <alignment horizontal="center" vertical="center"/>
    </xf>
    <xf numFmtId="0" fontId="45" fillId="0" borderId="0" xfId="107" applyFont="1" applyAlignment="1">
      <alignment horizontal="center" vertical="center"/>
    </xf>
    <xf numFmtId="0" fontId="45" fillId="0" borderId="20" xfId="107" applyFont="1" applyBorder="1" applyAlignment="1">
      <alignment horizontal="center" vertical="center"/>
    </xf>
    <xf numFmtId="0" fontId="45" fillId="0" borderId="74" xfId="107" applyFont="1" applyBorder="1" applyAlignment="1">
      <alignment horizontal="center" vertical="center"/>
    </xf>
    <xf numFmtId="0" fontId="45" fillId="0" borderId="75" xfId="107" applyFont="1" applyBorder="1" applyAlignment="1">
      <alignment horizontal="center" vertical="center"/>
    </xf>
    <xf numFmtId="0" fontId="45" fillId="0" borderId="76" xfId="107" applyFont="1" applyBorder="1" applyAlignment="1">
      <alignment horizontal="center" vertical="center"/>
    </xf>
    <xf numFmtId="0" fontId="52" fillId="43" borderId="10" xfId="107" applyFont="1" applyFill="1" applyBorder="1" applyAlignment="1">
      <alignment horizontal="center" vertical="center"/>
    </xf>
    <xf numFmtId="0" fontId="52" fillId="43" borderId="55" xfId="107" applyFont="1" applyFill="1" applyBorder="1" applyAlignment="1">
      <alignment horizontal="center" vertical="center"/>
    </xf>
    <xf numFmtId="0" fontId="43" fillId="0" borderId="47" xfId="107" applyBorder="1"/>
    <xf numFmtId="0" fontId="48" fillId="0" borderId="53" xfId="107" applyFont="1" applyBorder="1" applyAlignment="1">
      <alignment horizontal="center" vertical="center"/>
    </xf>
    <xf numFmtId="3" fontId="49" fillId="0" borderId="15" xfId="107" applyNumberFormat="1" applyFont="1" applyBorder="1" applyAlignment="1">
      <alignment horizontal="right" vertical="center"/>
    </xf>
    <xf numFmtId="0" fontId="47" fillId="0" borderId="10" xfId="107" applyFont="1" applyBorder="1" applyAlignment="1">
      <alignment horizontal="left" vertical="center"/>
    </xf>
    <xf numFmtId="0" fontId="47" fillId="0" borderId="54" xfId="107" applyFont="1" applyBorder="1"/>
    <xf numFmtId="0" fontId="47" fillId="0" borderId="10" xfId="107" applyFont="1" applyBorder="1"/>
    <xf numFmtId="0" fontId="44" fillId="0" borderId="0" xfId="107" applyFont="1" applyAlignment="1">
      <alignment horizontal="center" vertical="center"/>
    </xf>
    <xf numFmtId="0" fontId="45" fillId="0" borderId="48" xfId="107" applyFont="1" applyBorder="1" applyAlignment="1">
      <alignment horizontal="center" vertical="center"/>
    </xf>
    <xf numFmtId="0" fontId="47" fillId="0" borderId="15" xfId="107" applyFont="1" applyBorder="1"/>
    <xf numFmtId="0" fontId="47" fillId="0" borderId="12" xfId="107" applyFont="1" applyBorder="1"/>
    <xf numFmtId="0" fontId="46" fillId="0" borderId="51" xfId="107" applyFont="1" applyBorder="1" applyAlignment="1">
      <alignment horizontal="left" vertical="center"/>
    </xf>
    <xf numFmtId="0" fontId="46" fillId="0" borderId="49" xfId="107" applyFont="1" applyBorder="1" applyAlignment="1">
      <alignment horizontal="left" vertical="center"/>
    </xf>
    <xf numFmtId="0" fontId="46" fillId="0" borderId="52" xfId="107" applyFont="1" applyBorder="1" applyAlignment="1">
      <alignment horizontal="left" vertical="center"/>
    </xf>
    <xf numFmtId="0" fontId="70" fillId="51" borderId="15" xfId="107" applyFont="1" applyFill="1" applyBorder="1" applyAlignment="1">
      <alignment horizontal="center" vertical="center"/>
    </xf>
    <xf numFmtId="0" fontId="70" fillId="51" borderId="12" xfId="107" applyFont="1" applyFill="1" applyBorder="1" applyAlignment="1">
      <alignment horizontal="center" vertical="center"/>
    </xf>
    <xf numFmtId="0" fontId="70" fillId="51" borderId="11" xfId="107" applyFont="1" applyFill="1" applyBorder="1" applyAlignment="1">
      <alignment horizontal="center" vertical="center"/>
    </xf>
    <xf numFmtId="0" fontId="71" fillId="0" borderId="15" xfId="107" applyFont="1" applyBorder="1" applyAlignment="1">
      <alignment horizontal="left" vertical="center"/>
    </xf>
    <xf numFmtId="0" fontId="71" fillId="0" borderId="12" xfId="107" applyFont="1" applyBorder="1" applyAlignment="1">
      <alignment horizontal="left" vertical="center"/>
    </xf>
    <xf numFmtId="0" fontId="71" fillId="0" borderId="11" xfId="107" applyFont="1" applyBorder="1" applyAlignment="1">
      <alignment horizontal="left" vertical="center"/>
    </xf>
    <xf numFmtId="0" fontId="70" fillId="51" borderId="10" xfId="107" applyFont="1" applyFill="1" applyBorder="1" applyAlignment="1">
      <alignment horizontal="center" vertical="center"/>
    </xf>
    <xf numFmtId="0" fontId="64" fillId="0" borderId="10" xfId="107" applyFont="1" applyBorder="1" applyAlignment="1">
      <alignment horizontal="left" vertical="center"/>
    </xf>
    <xf numFmtId="3" fontId="64" fillId="0" borderId="10" xfId="107" applyNumberFormat="1" applyFont="1" applyBorder="1" applyAlignment="1">
      <alignment horizontal="left" vertical="center"/>
    </xf>
    <xf numFmtId="0" fontId="64" fillId="0" borderId="10" xfId="0" applyFont="1" applyBorder="1" applyAlignment="1">
      <alignment horizontal="center" vertical="center"/>
    </xf>
    <xf numFmtId="3" fontId="64" fillId="0" borderId="15" xfId="107" applyNumberFormat="1" applyFont="1" applyBorder="1" applyAlignment="1">
      <alignment horizontal="left" vertical="center"/>
    </xf>
    <xf numFmtId="3" fontId="64" fillId="0" borderId="12" xfId="107" applyNumberFormat="1" applyFont="1" applyBorder="1" applyAlignment="1">
      <alignment horizontal="left" vertical="center"/>
    </xf>
    <xf numFmtId="3" fontId="64" fillId="0" borderId="11" xfId="107" applyNumberFormat="1" applyFont="1" applyBorder="1" applyAlignment="1">
      <alignment horizontal="left" vertical="center"/>
    </xf>
    <xf numFmtId="0" fontId="64" fillId="0" borderId="15" xfId="107" applyFont="1" applyBorder="1" applyAlignment="1">
      <alignment horizontal="left" vertical="center"/>
    </xf>
    <xf numFmtId="0" fontId="64" fillId="0" borderId="12" xfId="107" applyFont="1" applyBorder="1" applyAlignment="1">
      <alignment horizontal="left" vertical="center"/>
    </xf>
    <xf numFmtId="0" fontId="64" fillId="0" borderId="11" xfId="107" applyFont="1" applyBorder="1" applyAlignment="1">
      <alignment horizontal="left" vertical="center"/>
    </xf>
    <xf numFmtId="0" fontId="73" fillId="0" borderId="13" xfId="107" applyFont="1" applyBorder="1" applyAlignment="1">
      <alignment horizontal="left" vertical="center"/>
    </xf>
    <xf numFmtId="183" fontId="69" fillId="0" borderId="10" xfId="107" applyNumberFormat="1" applyFont="1" applyBorder="1" applyAlignment="1">
      <alignment horizontal="left" vertical="center"/>
    </xf>
    <xf numFmtId="183" fontId="69" fillId="0" borderId="15" xfId="107" applyNumberFormat="1" applyFont="1" applyBorder="1" applyAlignment="1">
      <alignment horizontal="center" vertical="center"/>
    </xf>
    <xf numFmtId="183" fontId="69" fillId="0" borderId="12" xfId="107" applyNumberFormat="1" applyFont="1" applyBorder="1" applyAlignment="1">
      <alignment horizontal="center" vertical="center"/>
    </xf>
    <xf numFmtId="183" fontId="69" fillId="0" borderId="11" xfId="107" applyNumberFormat="1" applyFont="1" applyBorder="1" applyAlignment="1">
      <alignment horizontal="center" vertical="center"/>
    </xf>
    <xf numFmtId="0" fontId="71" fillId="0" borderId="15" xfId="107" applyFont="1" applyBorder="1" applyAlignment="1">
      <alignment horizontal="center" vertical="center"/>
    </xf>
    <xf numFmtId="0" fontId="71" fillId="0" borderId="12" xfId="107" applyFont="1" applyBorder="1" applyAlignment="1">
      <alignment horizontal="center" vertical="center"/>
    </xf>
    <xf numFmtId="0" fontId="71" fillId="0" borderId="11" xfId="107" applyFont="1" applyBorder="1" applyAlignment="1">
      <alignment horizontal="center" vertical="center"/>
    </xf>
    <xf numFmtId="180" fontId="64" fillId="0" borderId="12" xfId="107" applyNumberFormat="1" applyFont="1" applyBorder="1" applyAlignment="1">
      <alignment horizontal="center" vertical="center"/>
    </xf>
    <xf numFmtId="180" fontId="64" fillId="0" borderId="11" xfId="107" applyNumberFormat="1" applyFont="1" applyBorder="1" applyAlignment="1">
      <alignment horizontal="center" vertical="center"/>
    </xf>
    <xf numFmtId="0" fontId="69" fillId="51" borderId="10" xfId="107" applyFont="1" applyFill="1" applyBorder="1" applyAlignment="1">
      <alignment horizontal="center" vertical="center"/>
    </xf>
    <xf numFmtId="3" fontId="64" fillId="0" borderId="15" xfId="107" applyNumberFormat="1" applyFont="1" applyBorder="1" applyAlignment="1">
      <alignment horizontal="center" vertical="center"/>
    </xf>
    <xf numFmtId="3" fontId="64" fillId="0" borderId="12" xfId="107" applyNumberFormat="1" applyFont="1" applyBorder="1" applyAlignment="1">
      <alignment horizontal="center" vertical="center"/>
    </xf>
    <xf numFmtId="3" fontId="64" fillId="0" borderId="11" xfId="107" applyNumberFormat="1" applyFont="1" applyBorder="1" applyAlignment="1">
      <alignment horizontal="center" vertical="center"/>
    </xf>
    <xf numFmtId="0" fontId="70" fillId="51" borderId="16" xfId="107" applyFont="1" applyFill="1" applyBorder="1" applyAlignment="1">
      <alignment horizontal="center" vertical="center"/>
    </xf>
    <xf numFmtId="0" fontId="70" fillId="51" borderId="19" xfId="107" applyFont="1" applyFill="1" applyBorder="1" applyAlignment="1">
      <alignment horizontal="center" vertical="center"/>
    </xf>
    <xf numFmtId="0" fontId="70" fillId="51" borderId="24" xfId="107" applyFont="1" applyFill="1" applyBorder="1" applyAlignment="1">
      <alignment horizontal="center" vertical="center"/>
    </xf>
    <xf numFmtId="0" fontId="70" fillId="51" borderId="13" xfId="107" applyFont="1" applyFill="1" applyBorder="1" applyAlignment="1">
      <alignment horizontal="center" vertical="center"/>
    </xf>
    <xf numFmtId="0" fontId="70" fillId="51" borderId="14" xfId="107" applyFont="1" applyFill="1" applyBorder="1" applyAlignment="1">
      <alignment horizontal="center" vertical="center"/>
    </xf>
    <xf numFmtId="0" fontId="74" fillId="43" borderId="10" xfId="107" applyFont="1" applyFill="1" applyBorder="1" applyAlignment="1">
      <alignment horizontal="center" vertical="center"/>
    </xf>
    <xf numFmtId="0" fontId="75" fillId="0" borderId="10" xfId="107" applyFont="1" applyBorder="1" applyAlignment="1">
      <alignment vertical="center"/>
    </xf>
    <xf numFmtId="0" fontId="74" fillId="43" borderId="12" xfId="107" applyFont="1" applyFill="1" applyBorder="1" applyAlignment="1">
      <alignment horizontal="center" vertical="center"/>
    </xf>
    <xf numFmtId="0" fontId="74" fillId="43" borderId="11" xfId="107" applyFont="1" applyFill="1" applyBorder="1" applyAlignment="1">
      <alignment horizontal="center" vertical="center"/>
    </xf>
    <xf numFmtId="3" fontId="64" fillId="52" borderId="15" xfId="107" applyNumberFormat="1" applyFont="1" applyFill="1" applyBorder="1" applyAlignment="1">
      <alignment horizontal="center" vertical="center"/>
    </xf>
    <xf numFmtId="3" fontId="64" fillId="52" borderId="12" xfId="107" applyNumberFormat="1" applyFont="1" applyFill="1" applyBorder="1" applyAlignment="1">
      <alignment horizontal="center" vertical="center"/>
    </xf>
    <xf numFmtId="3" fontId="64" fillId="52" borderId="11" xfId="107" applyNumberFormat="1" applyFont="1" applyFill="1" applyBorder="1" applyAlignment="1">
      <alignment horizontal="center" vertical="center"/>
    </xf>
    <xf numFmtId="0" fontId="64" fillId="0" borderId="10" xfId="107" applyFont="1" applyBorder="1" applyAlignment="1">
      <alignment horizontal="center" vertical="center"/>
    </xf>
    <xf numFmtId="3" fontId="64" fillId="51" borderId="15" xfId="107" applyNumberFormat="1" applyFont="1" applyFill="1" applyBorder="1" applyAlignment="1">
      <alignment horizontal="center" vertical="center"/>
    </xf>
    <xf numFmtId="3" fontId="64" fillId="51" borderId="12" xfId="107" applyNumberFormat="1" applyFont="1" applyFill="1" applyBorder="1" applyAlignment="1">
      <alignment horizontal="center" vertical="center"/>
    </xf>
    <xf numFmtId="3" fontId="64" fillId="51" borderId="11" xfId="107" applyNumberFormat="1" applyFont="1" applyFill="1" applyBorder="1" applyAlignment="1">
      <alignment horizontal="center" vertical="center"/>
    </xf>
    <xf numFmtId="0" fontId="61" fillId="0" borderId="19" xfId="0" applyFont="1" applyBorder="1" applyAlignment="1">
      <alignment horizontal="center" vertical="center"/>
    </xf>
    <xf numFmtId="0" fontId="61" fillId="0" borderId="0" xfId="0" applyFont="1" applyAlignment="1">
      <alignment horizontal="center" vertical="center"/>
    </xf>
    <xf numFmtId="0" fontId="63" fillId="0" borderId="10" xfId="107" applyFont="1" applyBorder="1" applyAlignment="1">
      <alignment horizontal="center" vertical="center"/>
    </xf>
    <xf numFmtId="0" fontId="64" fillId="0" borderId="15" xfId="0" applyFont="1" applyBorder="1" applyAlignment="1">
      <alignment horizontal="center" vertical="center"/>
    </xf>
    <xf numFmtId="0" fontId="64" fillId="0" borderId="12" xfId="0" applyFont="1" applyBorder="1" applyAlignment="1">
      <alignment horizontal="center" vertical="center"/>
    </xf>
    <xf numFmtId="0" fontId="64" fillId="0" borderId="11" xfId="0" applyFont="1" applyBorder="1" applyAlignment="1">
      <alignment horizontal="center" vertical="center"/>
    </xf>
    <xf numFmtId="0" fontId="64" fillId="51" borderId="15" xfId="107" applyFont="1" applyFill="1" applyBorder="1" applyAlignment="1">
      <alignment horizontal="center" vertical="center"/>
    </xf>
    <xf numFmtId="0" fontId="64" fillId="51" borderId="12" xfId="107" applyFont="1" applyFill="1" applyBorder="1" applyAlignment="1">
      <alignment horizontal="center" vertical="center"/>
    </xf>
    <xf numFmtId="0" fontId="64" fillId="51" borderId="11" xfId="107" applyFont="1" applyFill="1" applyBorder="1" applyAlignment="1">
      <alignment horizontal="center" vertical="center"/>
    </xf>
    <xf numFmtId="0" fontId="63" fillId="0" borderId="79" xfId="107" applyFont="1" applyBorder="1" applyAlignment="1">
      <alignment horizontal="center" vertical="center"/>
    </xf>
    <xf numFmtId="0" fontId="63" fillId="50" borderId="0" xfId="107" applyFont="1" applyFill="1" applyAlignment="1">
      <alignment vertical="center"/>
    </xf>
    <xf numFmtId="0" fontId="65" fillId="50" borderId="0" xfId="107" applyFont="1" applyFill="1" applyAlignment="1">
      <alignment vertical="center"/>
    </xf>
    <xf numFmtId="0" fontId="63" fillId="0" borderId="0" xfId="107" applyFont="1" applyAlignment="1">
      <alignment vertical="center"/>
    </xf>
    <xf numFmtId="0" fontId="68" fillId="0" borderId="0" xfId="107" applyFont="1" applyAlignment="1">
      <alignment horizontal="center" vertical="center"/>
    </xf>
    <xf numFmtId="0" fontId="70" fillId="40" borderId="10" xfId="107" applyFont="1" applyFill="1" applyBorder="1" applyAlignment="1">
      <alignment horizontal="center" vertical="center" wrapText="1"/>
    </xf>
    <xf numFmtId="0" fontId="70" fillId="40" borderId="10" xfId="107" applyFont="1" applyFill="1" applyBorder="1" applyAlignment="1">
      <alignment horizontal="center" vertical="center"/>
    </xf>
    <xf numFmtId="0" fontId="70" fillId="40" borderId="15" xfId="107" applyFont="1" applyFill="1" applyBorder="1" applyAlignment="1">
      <alignment horizontal="center" vertical="center"/>
    </xf>
    <xf numFmtId="0" fontId="70" fillId="40" borderId="12" xfId="107" applyFont="1" applyFill="1" applyBorder="1" applyAlignment="1">
      <alignment horizontal="center" vertical="center"/>
    </xf>
    <xf numFmtId="0" fontId="70" fillId="40" borderId="11" xfId="107" applyFont="1" applyFill="1" applyBorder="1" applyAlignment="1">
      <alignment horizontal="center" vertical="center"/>
    </xf>
    <xf numFmtId="0" fontId="64" fillId="0" borderId="16" xfId="107" applyFont="1" applyBorder="1" applyAlignment="1">
      <alignment horizontal="left" vertical="center" wrapText="1"/>
    </xf>
    <xf numFmtId="0" fontId="64" fillId="0" borderId="17" xfId="107" applyFont="1" applyBorder="1" applyAlignment="1">
      <alignment horizontal="left" vertical="center" wrapText="1"/>
    </xf>
    <xf numFmtId="0" fontId="64" fillId="0" borderId="18" xfId="107" applyFont="1" applyBorder="1" applyAlignment="1">
      <alignment horizontal="left" vertical="center" wrapText="1"/>
    </xf>
    <xf numFmtId="0" fontId="74" fillId="43" borderId="15" xfId="107" applyFont="1" applyFill="1" applyBorder="1" applyAlignment="1">
      <alignment horizontal="center" vertical="center"/>
    </xf>
    <xf numFmtId="0" fontId="24" fillId="0" borderId="12" xfId="101" applyFont="1" applyBorder="1" applyAlignment="1">
      <alignment horizontal="distributed" vertical="center"/>
    </xf>
    <xf numFmtId="0" fontId="29" fillId="0" borderId="13" xfId="101" applyFont="1" applyBorder="1" applyAlignment="1">
      <alignment vertical="center"/>
    </xf>
    <xf numFmtId="0" fontId="30" fillId="0" borderId="0" xfId="101" applyFont="1" applyAlignment="1">
      <alignment horizontal="center" vertical="center"/>
    </xf>
    <xf numFmtId="0" fontId="24" fillId="0" borderId="15" xfId="101" applyFont="1" applyBorder="1" applyAlignment="1">
      <alignment horizontal="left" vertical="center"/>
    </xf>
    <xf numFmtId="0" fontId="24" fillId="0" borderId="12" xfId="101" applyFont="1" applyBorder="1" applyAlignment="1">
      <alignment horizontal="left" vertical="center"/>
    </xf>
    <xf numFmtId="0" fontId="24" fillId="0" borderId="11" xfId="101" applyFont="1" applyBorder="1" applyAlignment="1">
      <alignment horizontal="left" vertical="center"/>
    </xf>
    <xf numFmtId="0" fontId="29" fillId="0" borderId="12" xfId="101" applyFont="1" applyBorder="1" applyAlignment="1">
      <alignment vertical="center" wrapText="1"/>
    </xf>
    <xf numFmtId="0" fontId="29" fillId="0" borderId="12" xfId="101" applyFont="1" applyBorder="1" applyAlignment="1">
      <alignment vertical="center"/>
    </xf>
    <xf numFmtId="0" fontId="29" fillId="0" borderId="11" xfId="101" applyFont="1" applyBorder="1" applyAlignment="1">
      <alignment vertical="center"/>
    </xf>
    <xf numFmtId="176" fontId="31" fillId="0" borderId="12" xfId="102" applyFont="1" applyFill="1" applyBorder="1" applyAlignment="1">
      <alignment horizontal="right" vertical="center"/>
    </xf>
    <xf numFmtId="0" fontId="24" fillId="0" borderId="12" xfId="101" applyFont="1" applyBorder="1" applyAlignment="1">
      <alignment vertical="center"/>
    </xf>
    <xf numFmtId="176" fontId="26" fillId="0" borderId="12" xfId="102" applyFont="1" applyFill="1" applyBorder="1" applyAlignment="1">
      <alignment horizontal="center" vertical="center"/>
    </xf>
    <xf numFmtId="14" fontId="24" fillId="0" borderId="15" xfId="101" applyNumberFormat="1" applyFont="1" applyBorder="1" applyAlignment="1">
      <alignment horizontal="left" vertical="center"/>
    </xf>
    <xf numFmtId="0" fontId="24" fillId="0" borderId="15" xfId="101" applyFont="1" applyBorder="1" applyAlignment="1">
      <alignment vertical="center"/>
    </xf>
    <xf numFmtId="0" fontId="24" fillId="0" borderId="11" xfId="101" applyFont="1" applyBorder="1" applyAlignment="1">
      <alignment vertical="center"/>
    </xf>
    <xf numFmtId="0" fontId="29" fillId="0" borderId="32" xfId="101" applyFont="1" applyBorder="1" applyAlignment="1">
      <alignment horizontal="center" vertical="center"/>
    </xf>
    <xf numFmtId="0" fontId="29" fillId="0" borderId="33" xfId="101" applyFont="1" applyBorder="1" applyAlignment="1">
      <alignment horizontal="center" vertical="center"/>
    </xf>
    <xf numFmtId="0" fontId="29" fillId="0" borderId="34" xfId="101" applyFont="1" applyBorder="1" applyAlignment="1">
      <alignment horizontal="center" vertical="center"/>
    </xf>
    <xf numFmtId="179" fontId="29" fillId="0" borderId="35" xfId="101" applyNumberFormat="1" applyFont="1" applyBorder="1" applyAlignment="1">
      <alignment horizontal="center" vertical="center"/>
    </xf>
    <xf numFmtId="179" fontId="29" fillId="0" borderId="36" xfId="101" applyNumberFormat="1" applyFont="1" applyBorder="1" applyAlignment="1">
      <alignment horizontal="center" vertical="center"/>
    </xf>
    <xf numFmtId="38" fontId="29" fillId="0" borderId="37" xfId="103" applyFont="1" applyFill="1" applyBorder="1" applyAlignment="1">
      <alignment vertical="center"/>
    </xf>
    <xf numFmtId="38" fontId="29" fillId="0" borderId="38" xfId="103" applyFont="1" applyFill="1" applyBorder="1" applyAlignment="1">
      <alignment horizontal="right" vertical="center"/>
    </xf>
    <xf numFmtId="38" fontId="29" fillId="0" borderId="33" xfId="103" applyFont="1" applyFill="1" applyBorder="1" applyAlignment="1">
      <alignment horizontal="right" vertical="center"/>
    </xf>
    <xf numFmtId="38" fontId="29" fillId="0" borderId="39" xfId="103" applyFont="1" applyFill="1" applyBorder="1" applyAlignment="1">
      <alignment horizontal="right" vertical="center"/>
    </xf>
    <xf numFmtId="0" fontId="29" fillId="0" borderId="21" xfId="101" applyFont="1" applyBorder="1" applyAlignment="1">
      <alignment horizontal="center" vertical="center"/>
    </xf>
    <xf numFmtId="0" fontId="29" fillId="0" borderId="22" xfId="101" applyFont="1" applyBorder="1" applyAlignment="1">
      <alignment horizontal="center" vertical="center"/>
    </xf>
    <xf numFmtId="0" fontId="29" fillId="0" borderId="40" xfId="101" applyFont="1" applyBorder="1" applyAlignment="1">
      <alignment horizontal="center" vertical="center"/>
    </xf>
    <xf numFmtId="0" fontId="29" fillId="0" borderId="15" xfId="101" applyFont="1" applyBorder="1" applyAlignment="1">
      <alignment horizontal="left" vertical="center"/>
    </xf>
    <xf numFmtId="0" fontId="29" fillId="0" borderId="12" xfId="101" applyFont="1" applyBorder="1" applyAlignment="1">
      <alignment horizontal="left" vertical="center"/>
    </xf>
    <xf numFmtId="0" fontId="29" fillId="0" borderId="11" xfId="101" applyFont="1" applyBorder="1" applyAlignment="1">
      <alignment horizontal="left" vertical="center"/>
    </xf>
    <xf numFmtId="0" fontId="29" fillId="33" borderId="15" xfId="101" applyFont="1" applyFill="1" applyBorder="1" applyAlignment="1">
      <alignment horizontal="center" vertical="center"/>
    </xf>
    <xf numFmtId="0" fontId="29" fillId="33" borderId="12" xfId="101" applyFont="1" applyFill="1" applyBorder="1" applyAlignment="1">
      <alignment horizontal="center" vertical="center"/>
    </xf>
    <xf numFmtId="0" fontId="29" fillId="33" borderId="11" xfId="101" applyFont="1" applyFill="1" applyBorder="1" applyAlignment="1">
      <alignment horizontal="center" vertical="center"/>
    </xf>
    <xf numFmtId="0" fontId="29" fillId="33" borderId="28" xfId="101" applyFont="1" applyFill="1" applyBorder="1" applyAlignment="1">
      <alignment horizontal="center" vertical="center"/>
    </xf>
    <xf numFmtId="0" fontId="29" fillId="33" borderId="29" xfId="101" applyFont="1" applyFill="1" applyBorder="1" applyAlignment="1">
      <alignment horizontal="center" vertical="center"/>
    </xf>
    <xf numFmtId="0" fontId="29" fillId="33" borderId="30" xfId="101" applyFont="1" applyFill="1" applyBorder="1" applyAlignment="1">
      <alignment horizontal="center" vertical="center"/>
    </xf>
    <xf numFmtId="0" fontId="29" fillId="33" borderId="31" xfId="101" applyFont="1" applyFill="1" applyBorder="1" applyAlignment="1">
      <alignment horizontal="center" vertical="center"/>
    </xf>
    <xf numFmtId="0" fontId="24" fillId="0" borderId="13" xfId="101" applyFont="1" applyBorder="1" applyAlignment="1">
      <alignment horizontal="center" vertical="center"/>
    </xf>
    <xf numFmtId="0" fontId="27" fillId="0" borderId="13" xfId="101" applyFont="1" applyBorder="1" applyAlignment="1">
      <alignment horizontal="center" vertical="center"/>
    </xf>
    <xf numFmtId="0" fontId="29" fillId="0" borderId="41" xfId="101" applyFont="1" applyBorder="1" applyAlignment="1">
      <alignment horizontal="center" vertical="center"/>
    </xf>
    <xf numFmtId="38" fontId="29" fillId="0" borderId="41" xfId="103" applyFont="1" applyFill="1" applyBorder="1" applyAlignment="1">
      <alignment horizontal="right" vertical="center"/>
    </xf>
    <xf numFmtId="38" fontId="29" fillId="0" borderId="22" xfId="103" applyFont="1" applyFill="1" applyBorder="1" applyAlignment="1">
      <alignment horizontal="right" vertical="center"/>
    </xf>
    <xf numFmtId="38" fontId="29" fillId="0" borderId="23" xfId="103" applyFont="1" applyFill="1" applyBorder="1" applyAlignment="1">
      <alignment horizontal="right" vertical="center"/>
    </xf>
    <xf numFmtId="0" fontId="29" fillId="0" borderId="25" xfId="101" applyFont="1" applyBorder="1" applyAlignment="1">
      <alignment horizontal="center" vertical="center"/>
    </xf>
    <xf numFmtId="0" fontId="29" fillId="0" borderId="26" xfId="101" applyFont="1" applyBorder="1" applyAlignment="1">
      <alignment horizontal="center" vertical="center"/>
    </xf>
    <xf numFmtId="0" fontId="29" fillId="0" borderId="43" xfId="101" applyFont="1" applyBorder="1" applyAlignment="1">
      <alignment horizontal="center" vertical="center"/>
    </xf>
    <xf numFmtId="0" fontId="29" fillId="0" borderId="44" xfId="101" applyFont="1" applyBorder="1" applyAlignment="1">
      <alignment horizontal="center" vertical="center"/>
    </xf>
    <xf numFmtId="38" fontId="29" fillId="0" borderId="44" xfId="103" applyFont="1" applyFill="1" applyBorder="1" applyAlignment="1">
      <alignment horizontal="right" vertical="center"/>
    </xf>
    <xf numFmtId="38" fontId="29" fillId="0" borderId="26" xfId="103" applyFont="1" applyFill="1" applyBorder="1" applyAlignment="1">
      <alignment horizontal="right" vertical="center"/>
    </xf>
    <xf numFmtId="38" fontId="29" fillId="0" borderId="27" xfId="103" applyFont="1" applyFill="1" applyBorder="1" applyAlignment="1">
      <alignment horizontal="right" vertical="center"/>
    </xf>
    <xf numFmtId="0" fontId="24" fillId="0" borderId="0" xfId="101" applyFont="1" applyAlignment="1">
      <alignment horizontal="center" vertical="center"/>
    </xf>
    <xf numFmtId="0" fontId="24" fillId="0" borderId="0" xfId="101" applyFont="1" applyAlignment="1">
      <alignment horizontal="center"/>
    </xf>
    <xf numFmtId="0" fontId="26" fillId="0" borderId="17" xfId="101" applyFont="1" applyBorder="1" applyAlignment="1">
      <alignment horizontal="center" vertical="center" wrapText="1"/>
    </xf>
    <xf numFmtId="0" fontId="26" fillId="0" borderId="0" xfId="101" applyFont="1" applyAlignment="1">
      <alignment horizontal="center" vertical="center" wrapText="1"/>
    </xf>
    <xf numFmtId="0" fontId="26" fillId="0" borderId="13" xfId="101" applyFont="1" applyBorder="1" applyAlignment="1">
      <alignment horizontal="center" vertical="center" wrapText="1"/>
    </xf>
    <xf numFmtId="0" fontId="24" fillId="0" borderId="16" xfId="101" applyFont="1" applyBorder="1" applyAlignment="1">
      <alignment horizontal="left" vertical="top" wrapText="1"/>
    </xf>
    <xf numFmtId="0" fontId="24" fillId="0" borderId="17" xfId="101" applyFont="1" applyBorder="1" applyAlignment="1">
      <alignment horizontal="left" vertical="top"/>
    </xf>
    <xf numFmtId="0" fontId="24" fillId="0" borderId="18" xfId="101" applyFont="1" applyBorder="1" applyAlignment="1">
      <alignment horizontal="left" vertical="top"/>
    </xf>
    <xf numFmtId="0" fontId="24" fillId="0" borderId="19" xfId="101" applyFont="1" applyBorder="1" applyAlignment="1">
      <alignment horizontal="left" vertical="top"/>
    </xf>
    <xf numFmtId="0" fontId="24" fillId="0" borderId="0" xfId="101" applyFont="1" applyAlignment="1">
      <alignment horizontal="left" vertical="top"/>
    </xf>
    <xf numFmtId="0" fontId="24" fillId="0" borderId="20" xfId="101" applyFont="1" applyBorder="1" applyAlignment="1">
      <alignment horizontal="left" vertical="top"/>
    </xf>
    <xf numFmtId="0" fontId="24" fillId="0" borderId="24" xfId="101" applyFont="1" applyBorder="1" applyAlignment="1">
      <alignment horizontal="left" vertical="top"/>
    </xf>
    <xf numFmtId="0" fontId="24" fillId="0" borderId="13" xfId="101" applyFont="1" applyBorder="1" applyAlignment="1">
      <alignment horizontal="left" vertical="top"/>
    </xf>
    <xf numFmtId="0" fontId="24" fillId="0" borderId="14" xfId="101" applyFont="1" applyBorder="1" applyAlignment="1">
      <alignment horizontal="left" vertical="top"/>
    </xf>
    <xf numFmtId="0" fontId="24" fillId="0" borderId="17" xfId="101" applyFont="1" applyBorder="1" applyAlignment="1">
      <alignment horizontal="center" vertical="center"/>
    </xf>
    <xf numFmtId="0" fontId="24" fillId="0" borderId="15" xfId="101" applyFont="1" applyBorder="1" applyAlignment="1">
      <alignment horizontal="center" vertical="center"/>
    </xf>
    <xf numFmtId="0" fontId="24" fillId="0" borderId="12" xfId="101" applyFont="1" applyBorder="1" applyAlignment="1">
      <alignment horizontal="center" vertical="center"/>
    </xf>
    <xf numFmtId="0" fontId="24" fillId="0" borderId="11" xfId="101" applyFont="1" applyBorder="1" applyAlignment="1">
      <alignment horizontal="center" vertical="center"/>
    </xf>
    <xf numFmtId="179" fontId="29" fillId="0" borderId="41" xfId="101" applyNumberFormat="1" applyFont="1" applyBorder="1" applyAlignment="1">
      <alignment horizontal="center" vertical="center"/>
    </xf>
    <xf numFmtId="179" fontId="29" fillId="0" borderId="40" xfId="101" applyNumberFormat="1" applyFont="1" applyBorder="1" applyAlignment="1">
      <alignment horizontal="center" vertical="center"/>
    </xf>
    <xf numFmtId="38" fontId="29" fillId="0" borderId="42" xfId="103" applyFont="1" applyFill="1" applyBorder="1" applyAlignment="1">
      <alignment horizontal="right" vertical="center"/>
    </xf>
    <xf numFmtId="0" fontId="24" fillId="0" borderId="0" xfId="101" applyFont="1" applyAlignment="1">
      <alignment vertical="center"/>
    </xf>
    <xf numFmtId="0" fontId="24" fillId="0" borderId="0" xfId="101" applyFont="1" applyAlignment="1">
      <alignment horizontal="left" vertical="center"/>
    </xf>
    <xf numFmtId="0" fontId="82" fillId="51" borderId="15" xfId="107" applyFont="1" applyFill="1" applyBorder="1" applyAlignment="1">
      <alignment horizontal="center" vertical="center"/>
    </xf>
    <xf numFmtId="0" fontId="82" fillId="51" borderId="12" xfId="107" applyFont="1" applyFill="1" applyBorder="1" applyAlignment="1">
      <alignment horizontal="center" vertical="center"/>
    </xf>
    <xf numFmtId="0" fontId="82" fillId="51" borderId="11" xfId="107" applyFont="1" applyFill="1" applyBorder="1" applyAlignment="1">
      <alignment horizontal="center" vertical="center"/>
    </xf>
    <xf numFmtId="0" fontId="82" fillId="51" borderId="10" xfId="107" applyFont="1" applyFill="1" applyBorder="1" applyAlignment="1">
      <alignment horizontal="center" vertical="center"/>
    </xf>
    <xf numFmtId="0" fontId="82" fillId="51" borderId="10" xfId="107" applyFont="1" applyFill="1" applyBorder="1" applyAlignment="1">
      <alignment horizontal="center" vertical="center" wrapText="1"/>
    </xf>
    <xf numFmtId="0" fontId="82" fillId="51" borderId="16" xfId="107" applyFont="1" applyFill="1" applyBorder="1" applyAlignment="1">
      <alignment horizontal="center" vertical="center"/>
    </xf>
    <xf numFmtId="0" fontId="82" fillId="51" borderId="17" xfId="107" applyFont="1" applyFill="1" applyBorder="1" applyAlignment="1">
      <alignment horizontal="center" vertical="center"/>
    </xf>
    <xf numFmtId="0" fontId="82" fillId="51" borderId="18" xfId="107" applyFont="1" applyFill="1" applyBorder="1" applyAlignment="1">
      <alignment horizontal="center" vertical="center"/>
    </xf>
    <xf numFmtId="0" fontId="82" fillId="51" borderId="79" xfId="107" applyFont="1" applyFill="1" applyBorder="1" applyAlignment="1">
      <alignment horizontal="center" vertical="center"/>
    </xf>
    <xf numFmtId="0" fontId="82" fillId="51" borderId="81" xfId="107" applyFont="1" applyFill="1" applyBorder="1" applyAlignment="1">
      <alignment horizontal="center" vertical="center"/>
    </xf>
    <xf numFmtId="0" fontId="82" fillId="51" borderId="82" xfId="107" applyFont="1" applyFill="1" applyBorder="1" applyAlignment="1">
      <alignment horizontal="center" vertical="center"/>
    </xf>
    <xf numFmtId="0" fontId="82" fillId="51" borderId="15" xfId="107" applyFont="1" applyFill="1" applyBorder="1" applyAlignment="1">
      <alignment horizontal="center" vertical="center"/>
    </xf>
    <xf numFmtId="0" fontId="82" fillId="51" borderId="12" xfId="107" applyFont="1" applyFill="1" applyBorder="1" applyAlignment="1">
      <alignment horizontal="center" vertical="center"/>
    </xf>
    <xf numFmtId="0" fontId="82" fillId="51" borderId="11" xfId="107" applyFont="1" applyFill="1" applyBorder="1" applyAlignment="1">
      <alignment horizontal="center" vertical="center"/>
    </xf>
    <xf numFmtId="3" fontId="82" fillId="51" borderId="83" xfId="107" applyNumberFormat="1" applyFont="1" applyFill="1" applyBorder="1" applyAlignment="1">
      <alignment horizontal="center" vertical="center"/>
    </xf>
    <xf numFmtId="3" fontId="82" fillId="51" borderId="84" xfId="107" applyNumberFormat="1" applyFont="1" applyFill="1" applyBorder="1" applyAlignment="1">
      <alignment horizontal="center" vertical="center"/>
    </xf>
    <xf numFmtId="3" fontId="82" fillId="51" borderId="85" xfId="107" applyNumberFormat="1" applyFont="1" applyFill="1" applyBorder="1" applyAlignment="1">
      <alignment horizontal="center" vertical="center"/>
    </xf>
  </cellXfs>
  <cellStyles count="108">
    <cellStyle name="20% - アクセント 1" xfId="20" builtinId="30" customBuiltin="1"/>
    <cellStyle name="20% - アクセント 1 2" xfId="45" xr:uid="{00000000-0005-0000-0000-000034000000}"/>
    <cellStyle name="20% - アクセント 1 2 2" xfId="75" xr:uid="{00000000-0005-0000-0000-000034000000}"/>
    <cellStyle name="20% - アクセント 1 3" xfId="60" xr:uid="{00000000-0005-0000-0000-000043000000}"/>
    <cellStyle name="20% - アクセント 2" xfId="24" builtinId="34" customBuiltin="1"/>
    <cellStyle name="20% - アクセント 2 2" xfId="47" xr:uid="{00000000-0005-0000-0000-000035000000}"/>
    <cellStyle name="20% - アクセント 2 2 2" xfId="77" xr:uid="{00000000-0005-0000-0000-000035000000}"/>
    <cellStyle name="20% - アクセント 2 3" xfId="62" xr:uid="{00000000-0005-0000-0000-000045000000}"/>
    <cellStyle name="20% - アクセント 3" xfId="28" builtinId="38" customBuiltin="1"/>
    <cellStyle name="20% - アクセント 3 2" xfId="49" xr:uid="{00000000-0005-0000-0000-000036000000}"/>
    <cellStyle name="20% - アクセント 3 2 2" xfId="79" xr:uid="{00000000-0005-0000-0000-000036000000}"/>
    <cellStyle name="20% - アクセント 3 3" xfId="64" xr:uid="{00000000-0005-0000-0000-000047000000}"/>
    <cellStyle name="20% - アクセント 4" xfId="32" builtinId="42" customBuiltin="1"/>
    <cellStyle name="20% - アクセント 4 2" xfId="51" xr:uid="{00000000-0005-0000-0000-000037000000}"/>
    <cellStyle name="20% - アクセント 4 2 2" xfId="81" xr:uid="{00000000-0005-0000-0000-000037000000}"/>
    <cellStyle name="20% - アクセント 4 3" xfId="66" xr:uid="{00000000-0005-0000-0000-000049000000}"/>
    <cellStyle name="20% - アクセント 5" xfId="36" builtinId="46" customBuiltin="1"/>
    <cellStyle name="20% - アクセント 5 2" xfId="53" xr:uid="{00000000-0005-0000-0000-000038000000}"/>
    <cellStyle name="20% - アクセント 5 2 2" xfId="83" xr:uid="{00000000-0005-0000-0000-000038000000}"/>
    <cellStyle name="20% - アクセント 5 3" xfId="68" xr:uid="{00000000-0005-0000-0000-00004B000000}"/>
    <cellStyle name="20% - アクセント 6" xfId="40" builtinId="50" customBuiltin="1"/>
    <cellStyle name="20% - アクセント 6 2" xfId="55" xr:uid="{00000000-0005-0000-0000-000039000000}"/>
    <cellStyle name="20% - アクセント 6 2 2" xfId="85" xr:uid="{00000000-0005-0000-0000-000039000000}"/>
    <cellStyle name="20% - アクセント 6 3" xfId="70" xr:uid="{00000000-0005-0000-0000-00004D000000}"/>
    <cellStyle name="40% - アクセント 1" xfId="21" builtinId="31" customBuiltin="1"/>
    <cellStyle name="40% - アクセント 1 2" xfId="46" xr:uid="{00000000-0005-0000-0000-00003A000000}"/>
    <cellStyle name="40% - アクセント 1 2 2" xfId="76" xr:uid="{00000000-0005-0000-0000-00003A000000}"/>
    <cellStyle name="40% - アクセント 1 3" xfId="61" xr:uid="{00000000-0005-0000-0000-00004F000000}"/>
    <cellStyle name="40% - アクセント 2" xfId="25" builtinId="35" customBuiltin="1"/>
    <cellStyle name="40% - アクセント 2 2" xfId="48" xr:uid="{00000000-0005-0000-0000-00003B000000}"/>
    <cellStyle name="40% - アクセント 2 2 2" xfId="78" xr:uid="{00000000-0005-0000-0000-00003B000000}"/>
    <cellStyle name="40% - アクセント 2 3" xfId="63" xr:uid="{00000000-0005-0000-0000-000051000000}"/>
    <cellStyle name="40% - アクセント 3" xfId="29" builtinId="39" customBuiltin="1"/>
    <cellStyle name="40% - アクセント 3 2" xfId="50" xr:uid="{00000000-0005-0000-0000-00003C000000}"/>
    <cellStyle name="40% - アクセント 3 2 2" xfId="80" xr:uid="{00000000-0005-0000-0000-00003C000000}"/>
    <cellStyle name="40% - アクセント 3 3" xfId="65" xr:uid="{00000000-0005-0000-0000-000053000000}"/>
    <cellStyle name="40% - アクセント 4" xfId="33" builtinId="43" customBuiltin="1"/>
    <cellStyle name="40% - アクセント 4 2" xfId="52" xr:uid="{00000000-0005-0000-0000-00003D000000}"/>
    <cellStyle name="40% - アクセント 4 2 2" xfId="82" xr:uid="{00000000-0005-0000-0000-00003D000000}"/>
    <cellStyle name="40% - アクセント 4 3" xfId="67" xr:uid="{00000000-0005-0000-0000-000055000000}"/>
    <cellStyle name="40% - アクセント 5" xfId="37" builtinId="47" customBuiltin="1"/>
    <cellStyle name="40% - アクセント 5 2" xfId="54" xr:uid="{00000000-0005-0000-0000-00003E000000}"/>
    <cellStyle name="40% - アクセント 5 2 2" xfId="84" xr:uid="{00000000-0005-0000-0000-00003E000000}"/>
    <cellStyle name="40% - アクセント 5 3" xfId="69" xr:uid="{00000000-0005-0000-0000-000057000000}"/>
    <cellStyle name="40% - アクセント 6" xfId="41" builtinId="51" customBuiltin="1"/>
    <cellStyle name="40% - アクセント 6 2" xfId="56" xr:uid="{00000000-0005-0000-0000-00003F000000}"/>
    <cellStyle name="40% - アクセント 6 2 2" xfId="86" xr:uid="{00000000-0005-0000-0000-00003F000000}"/>
    <cellStyle name="40% - アクセント 6 3" xfId="71" xr:uid="{00000000-0005-0000-0000-000059000000}"/>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3" builtinId="15" customBuiltin="1"/>
    <cellStyle name="チェック セル" xfId="15" builtinId="23" customBuiltin="1"/>
    <cellStyle name="どちらでもない" xfId="10" builtinId="28" customBuiltin="1"/>
    <cellStyle name="メモ 2" xfId="44" xr:uid="{00000000-0005-0000-0000-00001B000000}"/>
    <cellStyle name="メモ 2 2" xfId="58" xr:uid="{00000000-0005-0000-0000-00001B000000}"/>
    <cellStyle name="メモ 2 2 2" xfId="88" xr:uid="{00000000-0005-0000-0000-00001B000000}"/>
    <cellStyle name="メモ 2 3" xfId="73" xr:uid="{00000000-0005-0000-0000-00001B000000}"/>
    <cellStyle name="リンク セル" xfId="14" builtinId="24" customBuiltin="1"/>
    <cellStyle name="悪い" xfId="9" builtinId="27" customBuiltin="1"/>
    <cellStyle name="計算" xfId="13" builtinId="22" customBuiltin="1"/>
    <cellStyle name="警告文" xfId="16" builtinId="11" customBuiltin="1"/>
    <cellStyle name="桁区切り 2" xfId="2" xr:uid="{00000000-0005-0000-0000-000021000000}"/>
    <cellStyle name="桁区切り 2 2" xfId="105" xr:uid="{3AB6011E-8DA8-42D5-A4DE-E7943685003E}"/>
    <cellStyle name="桁区切り 2 2 2" xfId="106" xr:uid="{6E973BD5-EEAD-4FFB-820E-B18A8AC2F594}"/>
    <cellStyle name="桁区切り 3" xfId="103" xr:uid="{81B6BBE7-7807-4C30-97D7-A8011C0EFAF5}"/>
    <cellStyle name="見出し 1" xfId="4" builtinId="16" customBuiltin="1"/>
    <cellStyle name="見出し 2" xfId="5" builtinId="17" customBuiltin="1"/>
    <cellStyle name="見出し 3" xfId="6" builtinId="18" customBuiltin="1"/>
    <cellStyle name="見出し 4" xfId="7" builtinId="19" customBuiltin="1"/>
    <cellStyle name="集計" xfId="18" builtinId="25" customBuiltin="1"/>
    <cellStyle name="出力" xfId="12" builtinId="21" customBuiltin="1"/>
    <cellStyle name="説明文" xfId="17" builtinId="53" customBuiltin="1"/>
    <cellStyle name="通貨 2" xfId="59" xr:uid="{00000000-0005-0000-0000-000041000000}"/>
    <cellStyle name="通貨 2 2" xfId="89" xr:uid="{00000000-0005-0000-0000-000041000000}"/>
    <cellStyle name="通貨 2 3" xfId="91" xr:uid="{28B8A0B8-C522-4735-B4CC-30481409A786}"/>
    <cellStyle name="通貨 2 4" xfId="94" xr:uid="{8AF11BFA-936C-40FD-873B-1E031E3094ED}"/>
    <cellStyle name="通貨 2 5" xfId="96" xr:uid="{E98DCC37-C921-423B-8E76-807D0A270956}"/>
    <cellStyle name="通貨 2 6" xfId="98" xr:uid="{4839B2DB-51FE-4388-A2AF-7E410395CF24}"/>
    <cellStyle name="通貨 2 7" xfId="100" xr:uid="{C2894B04-7B98-4B9F-8177-C12F6DCE95C8}"/>
    <cellStyle name="通貨 3" xfId="74" xr:uid="{00000000-0005-0000-0000-00005D000000}"/>
    <cellStyle name="通貨 4" xfId="90" xr:uid="{977E9A35-2879-4715-8955-8AE4C8BB0B21}"/>
    <cellStyle name="通貨 5" xfId="93" xr:uid="{6A2A0ED1-4E84-4CDB-A178-3BC845C5EC81}"/>
    <cellStyle name="通貨 6" xfId="95" xr:uid="{B24F5D2C-251B-417D-8FEB-24A9FBE77B4F}"/>
    <cellStyle name="通貨 7" xfId="97" xr:uid="{043BC9F2-44E0-44CB-9BAA-9D92BC47B759}"/>
    <cellStyle name="通貨 8" xfId="99" xr:uid="{B6EEA5B9-1BDE-440D-9A8E-DAF201AC3EFB}"/>
    <cellStyle name="通貨 9" xfId="102" xr:uid="{76457CB5-0B0F-420E-A8F3-139FC3333CBB}"/>
    <cellStyle name="入力" xfId="11" builtinId="20" customBuiltin="1"/>
    <cellStyle name="標準" xfId="0" builtinId="0"/>
    <cellStyle name="標準 2" xfId="43" xr:uid="{00000000-0005-0000-0000-00002C000000}"/>
    <cellStyle name="標準 2 2" xfId="57" xr:uid="{00000000-0005-0000-0000-00002C000000}"/>
    <cellStyle name="標準 2 2 2" xfId="87" xr:uid="{00000000-0005-0000-0000-00002C000000}"/>
    <cellStyle name="標準 2 3" xfId="72" xr:uid="{00000000-0005-0000-0000-00002C000000}"/>
    <cellStyle name="標準 2 4" xfId="92" xr:uid="{217DE31A-4D28-474B-B5F0-E1AC9C42F141}"/>
    <cellStyle name="標準 2 5" xfId="104" xr:uid="{9B8B77D6-520E-4B19-BC24-E7C6C61FED6C}"/>
    <cellStyle name="標準 3" xfId="1" xr:uid="{00000000-0005-0000-0000-00002D000000}"/>
    <cellStyle name="標準 4" xfId="101" xr:uid="{B9CCC3D0-595C-4171-BBDE-8059498C9678}"/>
    <cellStyle name="標準 5" xfId="107" xr:uid="{003C7B89-58F8-4253-85D8-70B1EEA911C3}"/>
    <cellStyle name="良い" xfId="8" builtinId="26" customBuiltin="1"/>
  </cellStyles>
  <dxfs count="575">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EEFD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15003</xdr:colOff>
      <xdr:row>1</xdr:row>
      <xdr:rowOff>22622</xdr:rowOff>
    </xdr:from>
    <xdr:to>
      <xdr:col>5</xdr:col>
      <xdr:colOff>597844</xdr:colOff>
      <xdr:row>6</xdr:row>
      <xdr:rowOff>117193</xdr:rowOff>
    </xdr:to>
    <xdr:sp macro="[0]!ユーザーフォーム呼び出し" textlink="">
      <xdr:nvSpPr>
        <xdr:cNvPr id="2" name="四角形: 角度付き 1">
          <a:extLst>
            <a:ext uri="{FF2B5EF4-FFF2-40B4-BE49-F238E27FC236}">
              <a16:creationId xmlns:a16="http://schemas.microsoft.com/office/drawing/2014/main" id="{E87C432A-3470-FCFD-3825-961F15F6ED4B}"/>
            </a:ext>
          </a:extLst>
        </xdr:cNvPr>
        <xdr:cNvSpPr/>
      </xdr:nvSpPr>
      <xdr:spPr>
        <a:xfrm>
          <a:off x="929403" y="175022"/>
          <a:ext cx="3021241" cy="89467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新規登録</a:t>
          </a:r>
        </a:p>
      </xdr:txBody>
    </xdr:sp>
    <xdr:clientData/>
  </xdr:twoCellAnchor>
  <xdr:twoCellAnchor>
    <xdr:from>
      <xdr:col>1</xdr:col>
      <xdr:colOff>0</xdr:colOff>
      <xdr:row>8</xdr:row>
      <xdr:rowOff>2894</xdr:rowOff>
    </xdr:from>
    <xdr:to>
      <xdr:col>6</xdr:col>
      <xdr:colOff>7383</xdr:colOff>
      <xdr:row>14</xdr:row>
      <xdr:rowOff>7620</xdr:rowOff>
    </xdr:to>
    <xdr:sp macro="[0]!StartSaitourokuProcess" textlink="">
      <xdr:nvSpPr>
        <xdr:cNvPr id="4" name="四角形: 角度付き 3">
          <a:extLst>
            <a:ext uri="{FF2B5EF4-FFF2-40B4-BE49-F238E27FC236}">
              <a16:creationId xmlns:a16="http://schemas.microsoft.com/office/drawing/2014/main" id="{B00AFEBB-2090-472F-BA89-4AA3992F0CF6}"/>
            </a:ext>
          </a:extLst>
        </xdr:cNvPr>
        <xdr:cNvSpPr/>
      </xdr:nvSpPr>
      <xdr:spPr>
        <a:xfrm>
          <a:off x="914400" y="1260194"/>
          <a:ext cx="3055383" cy="91912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編集・再登録</a:t>
          </a:r>
        </a:p>
      </xdr:txBody>
    </xdr:sp>
    <xdr:clientData/>
  </xdr:twoCellAnchor>
  <xdr:twoCellAnchor>
    <xdr:from>
      <xdr:col>1</xdr:col>
      <xdr:colOff>15950</xdr:colOff>
      <xdr:row>15</xdr:row>
      <xdr:rowOff>15949</xdr:rowOff>
    </xdr:from>
    <xdr:to>
      <xdr:col>5</xdr:col>
      <xdr:colOff>597846</xdr:colOff>
      <xdr:row>20</xdr:row>
      <xdr:rowOff>144780</xdr:rowOff>
    </xdr:to>
    <xdr:sp macro="[0]!StartIraishoProcess" textlink="">
      <xdr:nvSpPr>
        <xdr:cNvPr id="3" name="四角形: 角度付き 2">
          <a:extLst>
            <a:ext uri="{FF2B5EF4-FFF2-40B4-BE49-F238E27FC236}">
              <a16:creationId xmlns:a16="http://schemas.microsoft.com/office/drawing/2014/main" id="{2A9B15B8-5EAA-40A3-A90F-ECA1729AA6A8}"/>
            </a:ext>
          </a:extLst>
        </xdr:cNvPr>
        <xdr:cNvSpPr/>
      </xdr:nvSpPr>
      <xdr:spPr>
        <a:xfrm>
          <a:off x="930350" y="2340049"/>
          <a:ext cx="3020296" cy="89083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依頼書作成</a:t>
          </a:r>
        </a:p>
      </xdr:txBody>
    </xdr:sp>
    <xdr:clientData/>
  </xdr:twoCellAnchor>
  <xdr:oneCellAnchor>
    <xdr:from>
      <xdr:col>0</xdr:col>
      <xdr:colOff>237896</xdr:colOff>
      <xdr:row>29</xdr:row>
      <xdr:rowOff>140810</xdr:rowOff>
    </xdr:from>
    <xdr:ext cx="4370224" cy="259045"/>
    <xdr:sp macro="" textlink="">
      <xdr:nvSpPr>
        <xdr:cNvPr id="5" name="正方形/長方形 4">
          <a:extLst>
            <a:ext uri="{FF2B5EF4-FFF2-40B4-BE49-F238E27FC236}">
              <a16:creationId xmlns:a16="http://schemas.microsoft.com/office/drawing/2014/main" id="{CDC3CD39-39DE-D279-232D-DB9DF4FCB503}"/>
            </a:ext>
          </a:extLst>
        </xdr:cNvPr>
        <xdr:cNvSpPr/>
      </xdr:nvSpPr>
      <xdr:spPr>
        <a:xfrm>
          <a:off x="237896" y="4674415"/>
          <a:ext cx="4370224" cy="259045"/>
        </a:xfrm>
        <a:prstGeom prst="rect">
          <a:avLst/>
        </a:prstGeom>
        <a:noFill/>
      </xdr:spPr>
      <xdr:txBody>
        <a:bodyPr wrap="square" lIns="91440" tIns="45720" rIns="91440" bIns="45720">
          <a:spAutoFit/>
        </a:bodyPr>
        <a:lstStyle/>
        <a:p>
          <a:pPr algn="l"/>
          <a:r>
            <a:rPr lang="en-US" altLang="ja-JP" sz="1000" b="1" cap="none" spc="0">
              <a:ln w="22225">
                <a:noFill/>
                <a:prstDash val="solid"/>
              </a:ln>
              <a:solidFill>
                <a:srgbClr val="FF0000"/>
              </a:solidFill>
              <a:effectLst/>
            </a:rPr>
            <a:t>A36</a:t>
          </a:r>
          <a:r>
            <a:rPr lang="ja-JP" altLang="en-US" sz="1000" b="1" cap="none" spc="0">
              <a:ln w="22225">
                <a:noFill/>
                <a:prstDash val="solid"/>
              </a:ln>
              <a:solidFill>
                <a:srgbClr val="FF0000"/>
              </a:solidFill>
              <a:effectLst/>
            </a:rPr>
            <a:t>に「工事番号管理表」ファイルの保存場所アドレスを入力すると反映される</a:t>
          </a:r>
        </a:p>
      </xdr:txBody>
    </xdr:sp>
    <xdr:clientData/>
  </xdr:oneCellAnchor>
  <xdr:twoCellAnchor>
    <xdr:from>
      <xdr:col>1</xdr:col>
      <xdr:colOff>4370</xdr:colOff>
      <xdr:row>22</xdr:row>
      <xdr:rowOff>22414</xdr:rowOff>
    </xdr:from>
    <xdr:to>
      <xdr:col>5</xdr:col>
      <xdr:colOff>566656</xdr:colOff>
      <xdr:row>27</xdr:row>
      <xdr:rowOff>151245</xdr:rowOff>
    </xdr:to>
    <xdr:sp macro="[0]!UpdateAllSheets" textlink="">
      <xdr:nvSpPr>
        <xdr:cNvPr id="7" name="四角形: 角度付き 6">
          <a:extLst>
            <a:ext uri="{FF2B5EF4-FFF2-40B4-BE49-F238E27FC236}">
              <a16:creationId xmlns:a16="http://schemas.microsoft.com/office/drawing/2014/main" id="{6F9CE71B-1371-45B3-A849-789D72F36C72}"/>
            </a:ext>
          </a:extLst>
        </xdr:cNvPr>
        <xdr:cNvSpPr/>
      </xdr:nvSpPr>
      <xdr:spPr>
        <a:xfrm>
          <a:off x="889635" y="3507443"/>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1731</xdr:colOff>
      <xdr:row>0</xdr:row>
      <xdr:rowOff>608609</xdr:rowOff>
    </xdr:from>
    <xdr:to>
      <xdr:col>21</xdr:col>
      <xdr:colOff>1158091</xdr:colOff>
      <xdr:row>0</xdr:row>
      <xdr:rowOff>920336</xdr:rowOff>
    </xdr:to>
    <xdr:sp macro="" textlink="">
      <xdr:nvSpPr>
        <xdr:cNvPr id="2" name="テキスト ボックス 1">
          <a:extLst>
            <a:ext uri="{FF2B5EF4-FFF2-40B4-BE49-F238E27FC236}">
              <a16:creationId xmlns:a16="http://schemas.microsoft.com/office/drawing/2014/main" id="{2320CFBC-47B9-459C-A384-E39F900E26AA}"/>
            </a:ext>
          </a:extLst>
        </xdr:cNvPr>
        <xdr:cNvSpPr txBox="1"/>
      </xdr:nvSpPr>
      <xdr:spPr>
        <a:xfrm>
          <a:off x="31774410" y="608609"/>
          <a:ext cx="653118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0">
            <a:solidFill>
              <a:schemeClr val="tx1"/>
            </a:solidFill>
            <a:latin typeface="メイリオ" panose="020B0604030504040204" pitchFamily="50" charset="-128"/>
            <a:ea typeface="メイリオ" panose="020B0604030504040204" pitchFamily="50" charset="-128"/>
          </a:endParaRPr>
        </a:p>
        <a:p>
          <a:endParaRPr kumimoji="1" lang="ja-JP" altLang="en-US" sz="1600" b="0">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xdr:col>
      <xdr:colOff>299358</xdr:colOff>
      <xdr:row>0</xdr:row>
      <xdr:rowOff>108857</xdr:rowOff>
    </xdr:from>
    <xdr:to>
      <xdr:col>4</xdr:col>
      <xdr:colOff>247721</xdr:colOff>
      <xdr:row>0</xdr:row>
      <xdr:rowOff>1022100</xdr:rowOff>
    </xdr:to>
    <xdr:sp macro="[0]!UpdateAllSheets" textlink="">
      <xdr:nvSpPr>
        <xdr:cNvPr id="6" name="四角形: 角度付き 5">
          <a:extLst>
            <a:ext uri="{FF2B5EF4-FFF2-40B4-BE49-F238E27FC236}">
              <a16:creationId xmlns:a16="http://schemas.microsoft.com/office/drawing/2014/main" id="{CA94529C-49F5-4B26-9989-F16914AE24EA}"/>
            </a:ext>
          </a:extLst>
        </xdr:cNvPr>
        <xdr:cNvSpPr/>
      </xdr:nvSpPr>
      <xdr:spPr>
        <a:xfrm>
          <a:off x="979715" y="108857"/>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twoCellAnchor>
    <xdr:from>
      <xdr:col>4</xdr:col>
      <xdr:colOff>612321</xdr:colOff>
      <xdr:row>0</xdr:row>
      <xdr:rowOff>190499</xdr:rowOff>
    </xdr:from>
    <xdr:to>
      <xdr:col>5</xdr:col>
      <xdr:colOff>2571750</xdr:colOff>
      <xdr:row>1</xdr:row>
      <xdr:rowOff>0</xdr:rowOff>
    </xdr:to>
    <xdr:sp macro="" textlink="">
      <xdr:nvSpPr>
        <xdr:cNvPr id="4" name="吹き出し: 角を丸めた四角形 3">
          <a:extLst>
            <a:ext uri="{FF2B5EF4-FFF2-40B4-BE49-F238E27FC236}">
              <a16:creationId xmlns:a16="http://schemas.microsoft.com/office/drawing/2014/main" id="{1B3518DF-88A5-5A0A-526F-B505E283DA25}"/>
            </a:ext>
          </a:extLst>
        </xdr:cNvPr>
        <xdr:cNvSpPr/>
      </xdr:nvSpPr>
      <xdr:spPr>
        <a:xfrm>
          <a:off x="4327071" y="190499"/>
          <a:ext cx="6490608" cy="1496787"/>
        </a:xfrm>
        <a:prstGeom prst="wedgeRoundRectCallout">
          <a:avLst>
            <a:gd name="adj1" fmla="val -55833"/>
            <a:gd name="adj2" fmla="val 2183"/>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1415143</xdr:colOff>
      <xdr:row>0</xdr:row>
      <xdr:rowOff>1415143</xdr:rowOff>
    </xdr:from>
    <xdr:to>
      <xdr:col>4</xdr:col>
      <xdr:colOff>884464</xdr:colOff>
      <xdr:row>1</xdr:row>
      <xdr:rowOff>653142</xdr:rowOff>
    </xdr:to>
    <xdr:cxnSp macro="">
      <xdr:nvCxnSpPr>
        <xdr:cNvPr id="8" name="直線矢印コネクタ 7">
          <a:extLst>
            <a:ext uri="{FF2B5EF4-FFF2-40B4-BE49-F238E27FC236}">
              <a16:creationId xmlns:a16="http://schemas.microsoft.com/office/drawing/2014/main" id="{344B9114-A3C2-4C64-8BCC-4198B611BC8B}"/>
            </a:ext>
          </a:extLst>
        </xdr:cNvPr>
        <xdr:cNvCxnSpPr/>
      </xdr:nvCxnSpPr>
      <xdr:spPr>
        <a:xfrm flipH="1">
          <a:off x="3687536" y="1415143"/>
          <a:ext cx="911678" cy="9252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870857</xdr:colOff>
      <xdr:row>0</xdr:row>
      <xdr:rowOff>1401536</xdr:rowOff>
    </xdr:from>
    <xdr:to>
      <xdr:col>4</xdr:col>
      <xdr:colOff>870857</xdr:colOff>
      <xdr:row>1</xdr:row>
      <xdr:rowOff>653142</xdr:rowOff>
    </xdr:to>
    <xdr:cxnSp macro="">
      <xdr:nvCxnSpPr>
        <xdr:cNvPr id="9" name="直線矢印コネクタ 8">
          <a:extLst>
            <a:ext uri="{FF2B5EF4-FFF2-40B4-BE49-F238E27FC236}">
              <a16:creationId xmlns:a16="http://schemas.microsoft.com/office/drawing/2014/main" id="{FBCB2858-6102-43C1-9D9E-DDA9815D277A}"/>
            </a:ext>
          </a:extLst>
        </xdr:cNvPr>
        <xdr:cNvCxnSpPr/>
      </xdr:nvCxnSpPr>
      <xdr:spPr>
        <a:xfrm flipH="1">
          <a:off x="2231571" y="1401536"/>
          <a:ext cx="2354036" cy="9388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884464</xdr:colOff>
      <xdr:row>0</xdr:row>
      <xdr:rowOff>381000</xdr:rowOff>
    </xdr:from>
    <xdr:to>
      <xdr:col>5</xdr:col>
      <xdr:colOff>2745921</xdr:colOff>
      <xdr:row>0</xdr:row>
      <xdr:rowOff>1613807</xdr:rowOff>
    </xdr:to>
    <xdr:sp macro="" textlink="">
      <xdr:nvSpPr>
        <xdr:cNvPr id="5" name="テキスト ボックス 4">
          <a:extLst>
            <a:ext uri="{FF2B5EF4-FFF2-40B4-BE49-F238E27FC236}">
              <a16:creationId xmlns:a16="http://schemas.microsoft.com/office/drawing/2014/main" id="{3AC7B862-66C3-4E1B-B782-CD71C2F6141F}"/>
            </a:ext>
          </a:extLst>
        </xdr:cNvPr>
        <xdr:cNvSpPr txBox="1"/>
      </xdr:nvSpPr>
      <xdr:spPr>
        <a:xfrm>
          <a:off x="4599214" y="381000"/>
          <a:ext cx="6392636" cy="1232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FF0000"/>
              </a:solidFill>
              <a:latin typeface="メイリオ" panose="020B0604030504040204" pitchFamily="50" charset="-128"/>
              <a:ea typeface="メイリオ" panose="020B0604030504040204" pitchFamily="50" charset="-128"/>
            </a:rPr>
            <a:t>↑</a:t>
          </a:r>
          <a:r>
            <a:rPr kumimoji="1" lang="en-US" altLang="ja-JP" sz="1400" b="1">
              <a:solidFill>
                <a:srgbClr val="FF0000"/>
              </a:solidFill>
              <a:latin typeface="メイリオ" panose="020B0604030504040204" pitchFamily="50" charset="-128"/>
              <a:ea typeface="メイリオ" panose="020B0604030504040204" pitchFamily="50" charset="-128"/>
            </a:rPr>
            <a:t>『 </a:t>
          </a:r>
          <a:r>
            <a:rPr kumimoji="1" lang="ja-JP" altLang="en-US" sz="1400" b="1">
              <a:solidFill>
                <a:srgbClr val="FF0000"/>
              </a:solidFill>
              <a:latin typeface="メイリオ" panose="020B0604030504040204" pitchFamily="50" charset="-128"/>
              <a:ea typeface="メイリオ" panose="020B0604030504040204" pitchFamily="50" charset="-128"/>
            </a:rPr>
            <a:t>コンテンツを有効化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ja-JP" altLang="en-US" sz="1400" b="1">
              <a:solidFill>
                <a:srgbClr val="FF0000"/>
              </a:solidFill>
              <a:latin typeface="メイリオ" panose="020B0604030504040204" pitchFamily="50" charset="-128"/>
              <a:ea typeface="メイリオ" panose="020B0604030504040204" pitchFamily="50" charset="-128"/>
            </a:rPr>
            <a:t>工事番号確認前にソートを解除し</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　更新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ソートをかけたままだと正しいデータが反映されません</a:t>
          </a:r>
        </a:p>
        <a:p>
          <a:endParaRPr kumimoji="1" lang="ja-JP" altLang="en-US" sz="1400" b="1">
            <a:solidFill>
              <a:srgbClr val="FF0000"/>
            </a:solidFill>
            <a:latin typeface="メイリオ" panose="020B0604030504040204" pitchFamily="50" charset="-128"/>
            <a:ea typeface="メイリオ" panose="020B0604030504040204" pitchFamily="50" charset="-128"/>
          </a:endParaRPr>
        </a:p>
      </xdr:txBody>
    </xdr:sp>
    <xdr:clientData/>
  </xdr:twoCellAnchor>
  <xdr:twoCellAnchor>
    <xdr:from>
      <xdr:col>5</xdr:col>
      <xdr:colOff>2658649</xdr:colOff>
      <xdr:row>0</xdr:row>
      <xdr:rowOff>155554</xdr:rowOff>
    </xdr:from>
    <xdr:to>
      <xdr:col>12</xdr:col>
      <xdr:colOff>121226</xdr:colOff>
      <xdr:row>0</xdr:row>
      <xdr:rowOff>1558636</xdr:rowOff>
    </xdr:to>
    <xdr:sp macro="" textlink="">
      <xdr:nvSpPr>
        <xdr:cNvPr id="3" name="テキスト ボックス 2">
          <a:extLst>
            <a:ext uri="{FF2B5EF4-FFF2-40B4-BE49-F238E27FC236}">
              <a16:creationId xmlns:a16="http://schemas.microsoft.com/office/drawing/2014/main" id="{1F00BC8D-6684-5933-B79C-01250F1847B3}"/>
            </a:ext>
          </a:extLst>
        </xdr:cNvPr>
        <xdr:cNvSpPr txBox="1"/>
      </xdr:nvSpPr>
      <xdr:spPr>
        <a:xfrm>
          <a:off x="11265785" y="155554"/>
          <a:ext cx="8823305" cy="1403082"/>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4000" b="1">
              <a:solidFill>
                <a:schemeClr val="accent5"/>
              </a:solidFill>
              <a:effectLst/>
              <a:latin typeface="+mn-lt"/>
              <a:ea typeface="+mn-ea"/>
              <a:cs typeface="+mn-cs"/>
            </a:rPr>
            <a:t>青字は</a:t>
          </a:r>
          <a:r>
            <a:rPr kumimoji="1" lang="en-US" altLang="ja-JP" sz="4000" b="1">
              <a:solidFill>
                <a:schemeClr val="accent5"/>
              </a:solidFill>
              <a:effectLst/>
              <a:latin typeface="+mn-lt"/>
              <a:ea typeface="+mn-ea"/>
              <a:cs typeface="+mn-cs"/>
            </a:rPr>
            <a:t>DigitalBillder</a:t>
          </a:r>
          <a:r>
            <a:rPr kumimoji="1" lang="ja-JP" altLang="ja-JP" sz="4000" b="1">
              <a:solidFill>
                <a:schemeClr val="accent5"/>
              </a:solidFill>
              <a:effectLst/>
              <a:latin typeface="+mn-lt"/>
              <a:ea typeface="+mn-ea"/>
              <a:cs typeface="+mn-cs"/>
            </a:rPr>
            <a:t>に現場登録済</a:t>
          </a:r>
          <a:endParaRPr lang="ja-JP" altLang="ja-JP" sz="4000">
            <a:solidFill>
              <a:schemeClr val="accent5"/>
            </a:solidFill>
            <a:effectLst/>
          </a:endParaRPr>
        </a:p>
        <a:p>
          <a:pPr algn="ctr"/>
          <a:endParaRPr kumimoji="1" lang="en-US" altLang="ja-JP" sz="4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4000" b="1">
            <a:solidFill>
              <a:schemeClr val="accent5"/>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408831</xdr:colOff>
      <xdr:row>0</xdr:row>
      <xdr:rowOff>190500</xdr:rowOff>
    </xdr:from>
    <xdr:to>
      <xdr:col>16</xdr:col>
      <xdr:colOff>839005</xdr:colOff>
      <xdr:row>0</xdr:row>
      <xdr:rowOff>1593274</xdr:rowOff>
    </xdr:to>
    <xdr:sp macro="" textlink="">
      <xdr:nvSpPr>
        <xdr:cNvPr id="7" name="テキスト ボックス 6">
          <a:extLst>
            <a:ext uri="{FF2B5EF4-FFF2-40B4-BE49-F238E27FC236}">
              <a16:creationId xmlns:a16="http://schemas.microsoft.com/office/drawing/2014/main" id="{6897ECEE-5B8A-1E74-9C88-9C30A06832C2}"/>
            </a:ext>
          </a:extLst>
        </xdr:cNvPr>
        <xdr:cNvSpPr txBox="1"/>
      </xdr:nvSpPr>
      <xdr:spPr>
        <a:xfrm>
          <a:off x="20376695" y="190500"/>
          <a:ext cx="7807719" cy="1402774"/>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ja-JP" altLang="en-US"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br>
            <a:rPr kumimoji="1" lang="en-US" altLang="ja-JP" sz="2000" b="1">
              <a:solidFill>
                <a:schemeClr val="accent5"/>
              </a:solidFill>
              <a:effectLst/>
              <a:latin typeface="+mn-lt"/>
              <a:ea typeface="+mn-ea"/>
              <a:cs typeface="+mn-cs"/>
            </a:rPr>
          </a:br>
          <a:endParaRPr lang="ja-JP" altLang="ja-JP" sz="2000">
            <a:solidFill>
              <a:schemeClr val="accent5"/>
            </a:solidFill>
            <a:effectLst/>
          </a:endParaRPr>
        </a:p>
        <a:p>
          <a:pPr algn="ct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r>
            <a:rPr kumimoji="1" lang="ja-JP" altLang="en-US" sz="2000" b="1">
              <a:solidFill>
                <a:schemeClr val="accent5"/>
              </a:solidFill>
              <a:latin typeface="メイリオ" panose="020B0604030504040204" pitchFamily="50" charset="-128"/>
              <a:ea typeface="メイリオ" panose="020B0604030504040204" pitchFamily="50" charset="-128"/>
            </a:rPr>
            <a:t>いし</a:t>
          </a: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2000" b="1">
            <a:solidFill>
              <a:schemeClr val="accent5"/>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0</xdr:colOff>
      <xdr:row>2</xdr:row>
      <xdr:rowOff>312420</xdr:rowOff>
    </xdr:from>
    <xdr:to>
      <xdr:col>23</xdr:col>
      <xdr:colOff>579120</xdr:colOff>
      <xdr:row>4</xdr:row>
      <xdr:rowOff>373380</xdr:rowOff>
    </xdr:to>
    <xdr:sp macro="[0]!SaveRequestFormAsPDF" textlink="">
      <xdr:nvSpPr>
        <xdr:cNvPr id="2" name="四角形: 角度付き 1">
          <a:extLst>
            <a:ext uri="{FF2B5EF4-FFF2-40B4-BE49-F238E27FC236}">
              <a16:creationId xmlns:a16="http://schemas.microsoft.com/office/drawing/2014/main" id="{A967A1D4-C9E8-1E1F-2B01-98188E3C37E1}"/>
            </a:ext>
          </a:extLst>
        </xdr:cNvPr>
        <xdr:cNvSpPr/>
      </xdr:nvSpPr>
      <xdr:spPr>
        <a:xfrm>
          <a:off x="10203180" y="586740"/>
          <a:ext cx="1798320" cy="61722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2000" kern="1200"/>
            <a:t>PDF</a:t>
          </a:r>
          <a:r>
            <a:rPr kumimoji="1" lang="ja-JP" altLang="en-US" sz="2000" kern="1200"/>
            <a:t>印刷</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693420</xdr:colOff>
      <xdr:row>0</xdr:row>
      <xdr:rowOff>198121</xdr:rowOff>
    </xdr:from>
    <xdr:to>
      <xdr:col>3</xdr:col>
      <xdr:colOff>647700</xdr:colOff>
      <xdr:row>0</xdr:row>
      <xdr:rowOff>845821</xdr:rowOff>
    </xdr:to>
    <xdr:sp macro="[0]!UpdateAllSheets" textlink="">
      <xdr:nvSpPr>
        <xdr:cNvPr id="2" name="四角形: 角度付き 1">
          <a:extLst>
            <a:ext uri="{FF2B5EF4-FFF2-40B4-BE49-F238E27FC236}">
              <a16:creationId xmlns:a16="http://schemas.microsoft.com/office/drawing/2014/main" id="{B64607F8-E1A6-4A21-92BE-7952DB4FAD28}"/>
            </a:ext>
          </a:extLst>
        </xdr:cNvPr>
        <xdr:cNvSpPr/>
      </xdr:nvSpPr>
      <xdr:spPr>
        <a:xfrm>
          <a:off x="1729740" y="198121"/>
          <a:ext cx="2560320" cy="6477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24</xdr:col>
      <xdr:colOff>217394</xdr:colOff>
      <xdr:row>4</xdr:row>
      <xdr:rowOff>255495</xdr:rowOff>
    </xdr:from>
    <xdr:to>
      <xdr:col>27</xdr:col>
      <xdr:colOff>396689</xdr:colOff>
      <xdr:row>8</xdr:row>
      <xdr:rowOff>49306</xdr:rowOff>
    </xdr:to>
    <xdr:sp macro="[0]!SaveRequestFormAsPDF" textlink="">
      <xdr:nvSpPr>
        <xdr:cNvPr id="2" name="四角形: 角度付き 1">
          <a:extLst>
            <a:ext uri="{FF2B5EF4-FFF2-40B4-BE49-F238E27FC236}">
              <a16:creationId xmlns:a16="http://schemas.microsoft.com/office/drawing/2014/main" id="{8DECE5AF-4049-B609-191A-EF03351F9965}"/>
            </a:ext>
          </a:extLst>
        </xdr:cNvPr>
        <xdr:cNvSpPr/>
      </xdr:nvSpPr>
      <xdr:spPr>
        <a:xfrm>
          <a:off x="9217959" y="1250577"/>
          <a:ext cx="2034989" cy="941294"/>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a:t>PDF</a:t>
          </a:r>
          <a:r>
            <a:rPr kumimoji="1" lang="ja-JP" altLang="en-US" sz="2800"/>
            <a:t>印刷</a:t>
          </a:r>
        </a:p>
      </xdr:txBody>
    </xdr:sp>
    <xdr:clientData/>
  </xdr:twoCellAnchor>
  <xdr:twoCellAnchor>
    <xdr:from>
      <xdr:col>11</xdr:col>
      <xdr:colOff>336176</xdr:colOff>
      <xdr:row>38</xdr:row>
      <xdr:rowOff>14003</xdr:rowOff>
    </xdr:from>
    <xdr:to>
      <xdr:col>23</xdr:col>
      <xdr:colOff>128044</xdr:colOff>
      <xdr:row>44</xdr:row>
      <xdr:rowOff>70716</xdr:rowOff>
    </xdr:to>
    <xdr:grpSp>
      <xdr:nvGrpSpPr>
        <xdr:cNvPr id="3" name="グループ化 2">
          <a:extLst>
            <a:ext uri="{FF2B5EF4-FFF2-40B4-BE49-F238E27FC236}">
              <a16:creationId xmlns:a16="http://schemas.microsoft.com/office/drawing/2014/main" id="{137FD389-CE9E-48E0-A5E3-CF59862870AA}"/>
            </a:ext>
          </a:extLst>
        </xdr:cNvPr>
        <xdr:cNvGrpSpPr/>
      </xdr:nvGrpSpPr>
      <xdr:grpSpPr>
        <a:xfrm>
          <a:off x="3653117" y="10872503"/>
          <a:ext cx="4912956" cy="1334184"/>
          <a:chOff x="3651233" y="10023100"/>
          <a:chExt cx="4571177" cy="1137460"/>
        </a:xfrm>
      </xdr:grpSpPr>
      <xdr:sp macro="" textlink="">
        <xdr:nvSpPr>
          <xdr:cNvPr id="4" name="テキスト ボックス 3">
            <a:extLst>
              <a:ext uri="{FF2B5EF4-FFF2-40B4-BE49-F238E27FC236}">
                <a16:creationId xmlns:a16="http://schemas.microsoft.com/office/drawing/2014/main" id="{3F445D35-9A88-A87F-3176-ABC55542BC5F}"/>
              </a:ext>
            </a:extLst>
          </xdr:cNvPr>
          <xdr:cNvSpPr txBox="1"/>
        </xdr:nvSpPr>
        <xdr:spPr>
          <a:xfrm>
            <a:off x="3651233" y="10023100"/>
            <a:ext cx="1127598"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経　理</a:t>
            </a:r>
          </a:p>
        </xdr:txBody>
      </xdr:sp>
      <xdr:sp macro="" textlink="">
        <xdr:nvSpPr>
          <xdr:cNvPr id="5" name="テキスト ボックス 4">
            <a:extLst>
              <a:ext uri="{FF2B5EF4-FFF2-40B4-BE49-F238E27FC236}">
                <a16:creationId xmlns:a16="http://schemas.microsoft.com/office/drawing/2014/main" id="{C774389B-D97A-7507-2115-6D08DA3A4E61}"/>
              </a:ext>
            </a:extLst>
          </xdr:cNvPr>
          <xdr:cNvSpPr txBox="1"/>
        </xdr:nvSpPr>
        <xdr:spPr>
          <a:xfrm>
            <a:off x="4777741" y="10023936"/>
            <a:ext cx="1145259"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部　長</a:t>
            </a:r>
          </a:p>
        </xdr:txBody>
      </xdr:sp>
      <xdr:sp macro="" textlink="">
        <xdr:nvSpPr>
          <xdr:cNvPr id="6" name="テキスト ボックス 5">
            <a:extLst>
              <a:ext uri="{FF2B5EF4-FFF2-40B4-BE49-F238E27FC236}">
                <a16:creationId xmlns:a16="http://schemas.microsoft.com/office/drawing/2014/main" id="{E15395DC-2D82-527A-9226-92F369BFAC27}"/>
              </a:ext>
            </a:extLst>
          </xdr:cNvPr>
          <xdr:cNvSpPr txBox="1"/>
        </xdr:nvSpPr>
        <xdr:spPr>
          <a:xfrm>
            <a:off x="5924827" y="10023937"/>
            <a:ext cx="114966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引渡確認者</a:t>
            </a:r>
          </a:p>
        </xdr:txBody>
      </xdr:sp>
      <xdr:sp macro="" textlink="">
        <xdr:nvSpPr>
          <xdr:cNvPr id="7" name="テキスト ボックス 6">
            <a:extLst>
              <a:ext uri="{FF2B5EF4-FFF2-40B4-BE49-F238E27FC236}">
                <a16:creationId xmlns:a16="http://schemas.microsoft.com/office/drawing/2014/main" id="{1A1B77C6-6B72-897C-3E4E-18D99670A1F8}"/>
              </a:ext>
            </a:extLst>
          </xdr:cNvPr>
          <xdr:cNvSpPr txBox="1"/>
        </xdr:nvSpPr>
        <xdr:spPr>
          <a:xfrm>
            <a:off x="7076317" y="10028780"/>
            <a:ext cx="114609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依頼者</a:t>
            </a:r>
          </a:p>
        </xdr:txBody>
      </xdr:sp>
    </xdr:grpSp>
    <xdr:clientData/>
  </xdr:twoCellAnchor>
  <xdr:twoCellAnchor>
    <xdr:from>
      <xdr:col>11</xdr:col>
      <xdr:colOff>331305</xdr:colOff>
      <xdr:row>39</xdr:row>
      <xdr:rowOff>107674</xdr:rowOff>
    </xdr:from>
    <xdr:to>
      <xdr:col>23</xdr:col>
      <xdr:colOff>123482</xdr:colOff>
      <xdr:row>39</xdr:row>
      <xdr:rowOff>107674</xdr:rowOff>
    </xdr:to>
    <xdr:cxnSp macro="">
      <xdr:nvCxnSpPr>
        <xdr:cNvPr id="13" name="直線コネクタ 12">
          <a:extLst>
            <a:ext uri="{FF2B5EF4-FFF2-40B4-BE49-F238E27FC236}">
              <a16:creationId xmlns:a16="http://schemas.microsoft.com/office/drawing/2014/main" id="{3969A392-87B4-4973-9946-C3201FAE71C9}"/>
            </a:ext>
          </a:extLst>
        </xdr:cNvPr>
        <xdr:cNvCxnSpPr/>
      </xdr:nvCxnSpPr>
      <xdr:spPr>
        <a:xfrm>
          <a:off x="3644348" y="10560326"/>
          <a:ext cx="466235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182817</xdr:colOff>
      <xdr:row>2</xdr:row>
      <xdr:rowOff>11687</xdr:rowOff>
    </xdr:from>
    <xdr:to>
      <xdr:col>33</xdr:col>
      <xdr:colOff>17929</xdr:colOff>
      <xdr:row>3</xdr:row>
      <xdr:rowOff>215153</xdr:rowOff>
    </xdr:to>
    <xdr:sp macro="" textlink="">
      <xdr:nvSpPr>
        <xdr:cNvPr id="8" name="テキスト ボックス 7">
          <a:extLst>
            <a:ext uri="{FF2B5EF4-FFF2-40B4-BE49-F238E27FC236}">
              <a16:creationId xmlns:a16="http://schemas.microsoft.com/office/drawing/2014/main" id="{90D66AD6-34F5-41EC-9B10-E5F630A2B495}"/>
            </a:ext>
          </a:extLst>
        </xdr:cNvPr>
        <xdr:cNvSpPr txBox="1"/>
      </xdr:nvSpPr>
      <xdr:spPr>
        <a:xfrm>
          <a:off x="9183382" y="468887"/>
          <a:ext cx="5402194" cy="47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rgbClr val="FF0000"/>
              </a:solidFill>
              <a:latin typeface="メイリオ" panose="020B0604030504040204" pitchFamily="50" charset="-128"/>
              <a:ea typeface="メイリオ" panose="020B0604030504040204" pitchFamily="50" charset="-128"/>
            </a:rPr>
            <a:t>各自のダウンロードフォルダに保存されます</a:t>
          </a:r>
        </a:p>
      </xdr:txBody>
    </xdr:sp>
    <xdr:clientData/>
  </xdr:twoCellAnchor>
  <xdr:twoCellAnchor>
    <xdr:from>
      <xdr:col>24</xdr:col>
      <xdr:colOff>127748</xdr:colOff>
      <xdr:row>1</xdr:row>
      <xdr:rowOff>255495</xdr:rowOff>
    </xdr:from>
    <xdr:to>
      <xdr:col>31</xdr:col>
      <xdr:colOff>273423</xdr:colOff>
      <xdr:row>3</xdr:row>
      <xdr:rowOff>253254</xdr:rowOff>
    </xdr:to>
    <xdr:sp macro="" textlink="">
      <xdr:nvSpPr>
        <xdr:cNvPr id="9" name="吹き出し: 角を丸めた四角形 8">
          <a:extLst>
            <a:ext uri="{FF2B5EF4-FFF2-40B4-BE49-F238E27FC236}">
              <a16:creationId xmlns:a16="http://schemas.microsoft.com/office/drawing/2014/main" id="{3ECF9117-2294-4BFB-AE27-FF7F33485CC3}"/>
            </a:ext>
          </a:extLst>
        </xdr:cNvPr>
        <xdr:cNvSpPr/>
      </xdr:nvSpPr>
      <xdr:spPr>
        <a:xfrm>
          <a:off x="9128313" y="443754"/>
          <a:ext cx="4475628" cy="535641"/>
        </a:xfrm>
        <a:prstGeom prst="wedgeRoundRectCallout">
          <a:avLst>
            <a:gd name="adj1" fmla="val -28374"/>
            <a:gd name="adj2" fmla="val 111750"/>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380999</xdr:colOff>
      <xdr:row>13</xdr:row>
      <xdr:rowOff>190502</xdr:rowOff>
    </xdr:from>
    <xdr:to>
      <xdr:col>34</xdr:col>
      <xdr:colOff>526675</xdr:colOff>
      <xdr:row>15</xdr:row>
      <xdr:rowOff>291355</xdr:rowOff>
    </xdr:to>
    <xdr:sp macro="" textlink="">
      <xdr:nvSpPr>
        <xdr:cNvPr id="10" name="テキスト ボックス 9">
          <a:extLst>
            <a:ext uri="{FF2B5EF4-FFF2-40B4-BE49-F238E27FC236}">
              <a16:creationId xmlns:a16="http://schemas.microsoft.com/office/drawing/2014/main" id="{B5A13E32-DD05-35A8-5C48-05B2B41EDFD4}"/>
            </a:ext>
          </a:extLst>
        </xdr:cNvPr>
        <xdr:cNvSpPr txBox="1"/>
      </xdr:nvSpPr>
      <xdr:spPr>
        <a:xfrm>
          <a:off x="10320617" y="3552267"/>
          <a:ext cx="4986617" cy="70597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a:p>
        <a:p>
          <a:pPr algn="ctr"/>
          <a:r>
            <a:rPr kumimoji="1" lang="ja-JP" altLang="en-US" sz="1100"/>
            <a:t>仕様欄直接入力した場合、使用後は元の状態に戻してください</a:t>
          </a:r>
        </a:p>
      </xdr:txBody>
    </xdr:sp>
    <xdr:clientData fPrintsWithSheet="0"/>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A5FEA-98E2-4F65-ABBE-982AD30C959A}">
  <sheetPr codeName="Sheet1">
    <pageSetUpPr fitToPage="1"/>
  </sheetPr>
  <dimension ref="A4:A36"/>
  <sheetViews>
    <sheetView topLeftCell="A6" zoomScale="129" zoomScaleNormal="129" zoomScaleSheetLayoutView="129" workbookViewId="0">
      <selection activeCell="H33" sqref="H33"/>
    </sheetView>
  </sheetViews>
  <sheetFormatPr defaultRowHeight="12"/>
  <cols>
    <col min="1" max="1" width="13.28515625" customWidth="1"/>
    <col min="7" max="7" width="13.28515625" customWidth="1"/>
  </cols>
  <sheetData>
    <row r="4" spans="1:1" ht="15" customHeight="1">
      <c r="A4" s="32"/>
    </row>
    <row r="35" spans="1:1" ht="24" customHeight="1"/>
    <row r="36" spans="1:1" s="34" customFormat="1" ht="12" customHeight="1">
      <c r="A36" s="33" t="s">
        <v>118</v>
      </c>
    </row>
  </sheetData>
  <phoneticPr fontId="5"/>
  <pageMargins left="0.7" right="0.7" top="0.75" bottom="0.75" header="0.3" footer="0.3"/>
  <pageSetup paperSize="9" orientation="portrait" r:id="rId1"/>
  <rowBreaks count="2" manualBreakCount="2">
    <brk id="2" max="6" man="1"/>
    <brk id="4" max="16383" man="1"/>
  </rowBreaks>
  <colBreaks count="2" manualBreakCount="2">
    <brk id="3" max="30" man="1"/>
    <brk id="7" max="1048575"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F4B7-2578-4310-9416-17FD59F9E5BC}">
  <sheetPr codeName="Sheet3"/>
  <dimension ref="A1:X261"/>
  <sheetViews>
    <sheetView zoomScale="55" zoomScaleNormal="55" zoomScaleSheetLayoutView="56" workbookViewId="0">
      <pane xSplit="5" ySplit="2" topLeftCell="F111" activePane="bottomRight" state="frozen"/>
      <selection pane="topRight" activeCell="F1" sqref="F1"/>
      <selection pane="bottomLeft" activeCell="A3" sqref="A3"/>
      <selection pane="bottomRight" activeCell="M156" sqref="M156"/>
    </sheetView>
  </sheetViews>
  <sheetFormatPr defaultColWidth="9.140625" defaultRowHeight="16.5"/>
  <cols>
    <col min="1" max="2" width="10.140625" customWidth="1"/>
    <col min="3" max="3" width="13.7109375" customWidth="1"/>
    <col min="4" max="4" width="21.7109375" customWidth="1"/>
    <col min="5" max="5" width="73.140625" bestFit="1" customWidth="1"/>
    <col min="6" max="6" width="48.140625" customWidth="1"/>
    <col min="7" max="8" width="20.7109375" customWidth="1"/>
    <col min="9" max="9" width="14.28515625" customWidth="1"/>
    <col min="10" max="10" width="20.7109375" bestFit="1" customWidth="1"/>
    <col min="11" max="11" width="29.140625" customWidth="1"/>
    <col min="12" max="12" width="16.7109375" customWidth="1"/>
    <col min="13" max="13" width="39.85546875" customWidth="1"/>
    <col min="14" max="14" width="28.42578125" customWidth="1"/>
    <col min="15" max="15" width="21.85546875" customWidth="1"/>
    <col min="16" max="16" width="20.85546875" customWidth="1"/>
    <col min="17" max="17" width="21.85546875" customWidth="1"/>
    <col min="18" max="18" width="20" customWidth="1"/>
    <col min="19" max="19" width="41.42578125" customWidth="1"/>
    <col min="20" max="20" width="38.42578125" customWidth="1"/>
    <col min="21" max="21" width="55.28515625" customWidth="1"/>
    <col min="22" max="22" width="26.5703125" customWidth="1"/>
    <col min="23" max="23" width="45.28515625" customWidth="1"/>
    <col min="24" max="24" width="41.28515625" customWidth="1"/>
    <col min="25" max="16384" width="9.140625" style="37"/>
  </cols>
  <sheetData>
    <row r="1" spans="1:24" ht="132.75" customHeight="1">
      <c r="A1" s="259"/>
      <c r="B1" s="260"/>
      <c r="C1" s="260"/>
      <c r="D1" s="260"/>
      <c r="E1" s="260"/>
      <c r="F1" s="260"/>
      <c r="G1" s="260"/>
      <c r="H1" s="260"/>
      <c r="I1" s="260"/>
      <c r="J1" s="260"/>
      <c r="K1" s="260"/>
      <c r="L1" s="260"/>
      <c r="M1" s="261"/>
      <c r="N1" s="262"/>
      <c r="O1" s="263"/>
      <c r="P1" s="263"/>
      <c r="Q1" s="263"/>
      <c r="R1" s="263"/>
      <c r="S1" s="263"/>
      <c r="T1" s="263"/>
      <c r="U1" s="263"/>
      <c r="V1" s="263"/>
      <c r="W1" s="263"/>
      <c r="X1" s="264"/>
    </row>
    <row r="2" spans="1:24" ht="70.5" customHeight="1">
      <c r="A2" s="38" t="s">
        <v>27</v>
      </c>
      <c r="B2" s="38" t="s">
        <v>28</v>
      </c>
      <c r="C2" s="38" t="s">
        <v>29</v>
      </c>
      <c r="D2" s="38" t="s">
        <v>30</v>
      </c>
      <c r="E2" s="38" t="s">
        <v>31</v>
      </c>
      <c r="F2" s="38" t="s">
        <v>32</v>
      </c>
      <c r="G2" s="39" t="s">
        <v>33</v>
      </c>
      <c r="H2" s="39" t="s">
        <v>34</v>
      </c>
      <c r="I2" s="39" t="s">
        <v>35</v>
      </c>
      <c r="J2" s="39" t="s">
        <v>36</v>
      </c>
      <c r="K2" s="40" t="s">
        <v>37</v>
      </c>
      <c r="L2" s="41" t="s">
        <v>38</v>
      </c>
      <c r="M2" s="42" t="s">
        <v>39</v>
      </c>
      <c r="N2" s="43" t="s">
        <v>40</v>
      </c>
      <c r="O2" s="44" t="s">
        <v>41</v>
      </c>
      <c r="P2" s="44" t="s">
        <v>42</v>
      </c>
      <c r="Q2" s="44" t="s">
        <v>43</v>
      </c>
      <c r="R2" s="35" t="s">
        <v>44</v>
      </c>
      <c r="S2" s="36" t="s">
        <v>45</v>
      </c>
      <c r="T2" s="36" t="s">
        <v>46</v>
      </c>
      <c r="U2" s="36" t="s">
        <v>47</v>
      </c>
      <c r="V2" s="36" t="s">
        <v>48</v>
      </c>
      <c r="W2" s="36" t="s">
        <v>49</v>
      </c>
      <c r="X2" s="36" t="s">
        <v>50</v>
      </c>
    </row>
    <row r="3" spans="1:24" s="46" customFormat="1" ht="45" customHeight="1">
      <c r="A3" s="78">
        <v>2025</v>
      </c>
      <c r="B3" s="78">
        <v>1</v>
      </c>
      <c r="C3" s="78" t="s">
        <v>132</v>
      </c>
      <c r="D3" s="79" t="s">
        <v>133</v>
      </c>
      <c r="E3" s="80" t="s">
        <v>395</v>
      </c>
      <c r="F3" s="80" t="s">
        <v>134</v>
      </c>
      <c r="G3" s="81">
        <v>45901</v>
      </c>
      <c r="H3" s="82">
        <v>46112</v>
      </c>
      <c r="I3" s="82" t="s">
        <v>76</v>
      </c>
      <c r="J3" s="82">
        <v>45650</v>
      </c>
      <c r="K3" s="83">
        <v>460000000</v>
      </c>
      <c r="L3" s="84" t="s">
        <v>76</v>
      </c>
      <c r="M3" s="80"/>
      <c r="N3" s="127" t="s">
        <v>56</v>
      </c>
      <c r="O3" s="128"/>
      <c r="P3" s="128"/>
      <c r="Q3" s="128"/>
      <c r="R3" s="128"/>
      <c r="S3" s="128"/>
      <c r="T3" s="128"/>
      <c r="U3" s="128"/>
      <c r="V3" s="128"/>
      <c r="W3" s="128"/>
      <c r="X3" s="129"/>
    </row>
    <row r="4" spans="1:24" ht="45" customHeight="1">
      <c r="A4" s="78">
        <v>2025</v>
      </c>
      <c r="B4" s="78">
        <v>2</v>
      </c>
      <c r="C4" s="78" t="s">
        <v>132</v>
      </c>
      <c r="D4" s="79" t="s">
        <v>135</v>
      </c>
      <c r="E4" s="80" t="s">
        <v>136</v>
      </c>
      <c r="F4" s="87" t="s">
        <v>137</v>
      </c>
      <c r="G4" s="88">
        <v>45597</v>
      </c>
      <c r="H4" s="88">
        <v>45898</v>
      </c>
      <c r="I4" s="82" t="s">
        <v>76</v>
      </c>
      <c r="J4" s="88">
        <v>45588</v>
      </c>
      <c r="K4" s="89">
        <v>376000000</v>
      </c>
      <c r="L4" s="84" t="s">
        <v>76</v>
      </c>
      <c r="M4" s="90"/>
      <c r="N4" s="127" t="s">
        <v>56</v>
      </c>
      <c r="O4" s="128"/>
      <c r="P4" s="128"/>
      <c r="Q4" s="128"/>
      <c r="R4" s="128"/>
      <c r="S4" s="128"/>
      <c r="T4" s="128"/>
      <c r="U4" s="128"/>
      <c r="V4" s="128"/>
      <c r="W4" s="128"/>
      <c r="X4" s="129"/>
    </row>
    <row r="5" spans="1:24" s="46" customFormat="1" ht="45" customHeight="1">
      <c r="A5" s="78">
        <v>2025</v>
      </c>
      <c r="B5" s="78">
        <v>3</v>
      </c>
      <c r="C5" s="78" t="s">
        <v>132</v>
      </c>
      <c r="D5" s="79" t="s">
        <v>138</v>
      </c>
      <c r="E5" s="80" t="s">
        <v>139</v>
      </c>
      <c r="F5" s="80" t="s">
        <v>140</v>
      </c>
      <c r="G5" s="81">
        <v>45809</v>
      </c>
      <c r="H5" s="82">
        <v>46053</v>
      </c>
      <c r="I5" s="82" t="s">
        <v>76</v>
      </c>
      <c r="J5" s="82">
        <v>45383</v>
      </c>
      <c r="K5" s="83">
        <v>383000000</v>
      </c>
      <c r="L5" s="84" t="s">
        <v>76</v>
      </c>
      <c r="M5" s="80"/>
      <c r="N5" s="127" t="s">
        <v>56</v>
      </c>
      <c r="O5" s="128"/>
      <c r="P5" s="128"/>
      <c r="Q5" s="128"/>
      <c r="R5" s="128"/>
      <c r="S5" s="128"/>
      <c r="T5" s="128"/>
      <c r="U5" s="128"/>
      <c r="V5" s="128"/>
      <c r="W5" s="128"/>
      <c r="X5" s="130" t="s">
        <v>396</v>
      </c>
    </row>
    <row r="6" spans="1:24" ht="45" customHeight="1">
      <c r="A6" s="48">
        <v>2025</v>
      </c>
      <c r="B6" s="48">
        <v>4</v>
      </c>
      <c r="C6" s="48" t="s">
        <v>132</v>
      </c>
      <c r="D6" s="91" t="s">
        <v>138</v>
      </c>
      <c r="E6" s="92" t="s">
        <v>141</v>
      </c>
      <c r="F6" s="92" t="s">
        <v>140</v>
      </c>
      <c r="G6" s="93">
        <v>45946</v>
      </c>
      <c r="H6" s="93">
        <v>46006</v>
      </c>
      <c r="I6" s="94" t="s">
        <v>76</v>
      </c>
      <c r="J6" s="95">
        <v>45383</v>
      </c>
      <c r="K6" s="96">
        <v>32100000</v>
      </c>
      <c r="L6" s="49" t="s">
        <v>76</v>
      </c>
      <c r="M6" s="97"/>
      <c r="N6" s="93" t="s">
        <v>56</v>
      </c>
      <c r="O6" s="85"/>
      <c r="P6" s="85"/>
      <c r="Q6" s="85"/>
      <c r="R6" s="85"/>
      <c r="S6" s="85"/>
      <c r="T6" s="85"/>
      <c r="U6" s="85"/>
      <c r="V6" s="85"/>
      <c r="W6" s="85"/>
      <c r="X6" s="86"/>
    </row>
    <row r="7" spans="1:24" s="47" customFormat="1" ht="45" customHeight="1">
      <c r="A7" s="78">
        <v>2025</v>
      </c>
      <c r="B7" s="78">
        <v>5</v>
      </c>
      <c r="C7" s="78" t="s">
        <v>132</v>
      </c>
      <c r="D7" s="78" t="s">
        <v>142</v>
      </c>
      <c r="E7" s="80" t="s">
        <v>397</v>
      </c>
      <c r="F7" s="80" t="s">
        <v>143</v>
      </c>
      <c r="G7" s="81">
        <v>45555</v>
      </c>
      <c r="H7" s="82">
        <v>45945</v>
      </c>
      <c r="I7" s="82" t="s">
        <v>76</v>
      </c>
      <c r="J7" s="82">
        <v>45555</v>
      </c>
      <c r="K7" s="83">
        <v>600000</v>
      </c>
      <c r="L7" s="84" t="s">
        <v>76</v>
      </c>
      <c r="M7" s="98"/>
      <c r="N7" s="131" t="s">
        <v>56</v>
      </c>
      <c r="O7" s="128"/>
      <c r="P7" s="128"/>
      <c r="Q7" s="128"/>
      <c r="R7" s="128"/>
      <c r="S7" s="128"/>
      <c r="T7" s="128"/>
      <c r="U7" s="128"/>
      <c r="V7" s="128"/>
      <c r="W7" s="128"/>
      <c r="X7" s="129"/>
    </row>
    <row r="8" spans="1:24" ht="45" customHeight="1">
      <c r="A8" s="78">
        <v>2025</v>
      </c>
      <c r="B8" s="78">
        <v>6</v>
      </c>
      <c r="C8" s="78" t="s">
        <v>132</v>
      </c>
      <c r="D8" s="78" t="s">
        <v>144</v>
      </c>
      <c r="E8" s="80" t="s">
        <v>398</v>
      </c>
      <c r="F8" s="87" t="s">
        <v>145</v>
      </c>
      <c r="G8" s="81">
        <v>45689</v>
      </c>
      <c r="H8" s="82">
        <v>45930</v>
      </c>
      <c r="I8" s="82" t="s">
        <v>76</v>
      </c>
      <c r="J8" s="82">
        <v>45566</v>
      </c>
      <c r="K8" s="83">
        <v>116000000</v>
      </c>
      <c r="L8" s="84" t="s">
        <v>76</v>
      </c>
      <c r="M8" s="98"/>
      <c r="N8" s="131" t="s">
        <v>56</v>
      </c>
      <c r="O8" s="128"/>
      <c r="P8" s="128"/>
      <c r="Q8" s="128"/>
      <c r="R8" s="128"/>
      <c r="S8" s="128"/>
      <c r="T8" s="128"/>
      <c r="U8" s="128"/>
      <c r="V8" s="128"/>
      <c r="W8" s="128"/>
      <c r="X8" s="129"/>
    </row>
    <row r="9" spans="1:24" ht="45" customHeight="1">
      <c r="A9" s="132">
        <v>2025</v>
      </c>
      <c r="B9" s="132">
        <v>7</v>
      </c>
      <c r="C9" s="132" t="s">
        <v>132</v>
      </c>
      <c r="D9" s="132" t="s">
        <v>146</v>
      </c>
      <c r="E9" s="133" t="s">
        <v>147</v>
      </c>
      <c r="F9" s="133" t="s">
        <v>148</v>
      </c>
      <c r="G9" s="127">
        <v>45708</v>
      </c>
      <c r="H9" s="134">
        <v>45900</v>
      </c>
      <c r="I9" s="134" t="s">
        <v>76</v>
      </c>
      <c r="J9" s="134">
        <v>45686</v>
      </c>
      <c r="K9" s="135">
        <v>116060000</v>
      </c>
      <c r="L9" s="136" t="s">
        <v>76</v>
      </c>
      <c r="M9" s="137"/>
      <c r="N9" s="127" t="s">
        <v>56</v>
      </c>
      <c r="O9" s="128"/>
      <c r="P9" s="128"/>
      <c r="Q9" s="128"/>
      <c r="R9" s="128"/>
      <c r="S9" s="128"/>
      <c r="T9" s="128"/>
      <c r="U9" s="128"/>
      <c r="V9" s="128"/>
      <c r="W9" s="128"/>
      <c r="X9" s="129"/>
    </row>
    <row r="10" spans="1:24" ht="45" customHeight="1">
      <c r="A10" s="136">
        <v>2025</v>
      </c>
      <c r="B10" s="132">
        <v>8</v>
      </c>
      <c r="C10" s="136" t="s">
        <v>132</v>
      </c>
      <c r="D10" s="136" t="s">
        <v>149</v>
      </c>
      <c r="E10" s="138" t="s">
        <v>150</v>
      </c>
      <c r="F10" s="138" t="s">
        <v>151</v>
      </c>
      <c r="G10" s="128">
        <v>45704</v>
      </c>
      <c r="H10" s="134">
        <v>45823</v>
      </c>
      <c r="I10" s="134" t="s">
        <v>76</v>
      </c>
      <c r="J10" s="134">
        <v>45687</v>
      </c>
      <c r="K10" s="135">
        <v>38200000</v>
      </c>
      <c r="L10" s="136" t="s">
        <v>76</v>
      </c>
      <c r="M10" s="139"/>
      <c r="N10" s="128" t="s">
        <v>160</v>
      </c>
      <c r="O10" s="128"/>
      <c r="P10" s="128"/>
      <c r="Q10" s="128"/>
      <c r="R10" s="128"/>
      <c r="S10" s="128"/>
      <c r="T10" s="128"/>
      <c r="U10" s="128"/>
      <c r="V10" s="128"/>
      <c r="W10" s="128"/>
      <c r="X10" s="129"/>
    </row>
    <row r="11" spans="1:24" ht="45" customHeight="1">
      <c r="A11" s="140">
        <v>2025</v>
      </c>
      <c r="B11" s="140">
        <v>9</v>
      </c>
      <c r="C11" s="140" t="s">
        <v>132</v>
      </c>
      <c r="D11" s="140" t="s">
        <v>152</v>
      </c>
      <c r="E11" s="141" t="s">
        <v>153</v>
      </c>
      <c r="F11" s="141" t="s">
        <v>154</v>
      </c>
      <c r="G11" s="142">
        <v>45839</v>
      </c>
      <c r="H11" s="143">
        <v>45869</v>
      </c>
      <c r="I11" s="143" t="s">
        <v>76</v>
      </c>
      <c r="J11" s="143">
        <v>45748</v>
      </c>
      <c r="K11" s="144">
        <v>360000</v>
      </c>
      <c r="L11" s="145" t="s">
        <v>76</v>
      </c>
      <c r="M11" s="146"/>
      <c r="N11" s="142">
        <v>45905</v>
      </c>
      <c r="O11" s="147" t="s">
        <v>258</v>
      </c>
      <c r="P11" s="147" t="s">
        <v>259</v>
      </c>
      <c r="Q11" s="147">
        <v>45905</v>
      </c>
      <c r="R11" s="147">
        <v>45878</v>
      </c>
      <c r="S11" s="147" t="s">
        <v>260</v>
      </c>
      <c r="T11" s="147" t="s">
        <v>261</v>
      </c>
      <c r="U11" s="147" t="s">
        <v>262</v>
      </c>
      <c r="V11" s="147" t="s">
        <v>263</v>
      </c>
      <c r="W11" s="147" t="s">
        <v>264</v>
      </c>
      <c r="X11" s="148" t="s">
        <v>399</v>
      </c>
    </row>
    <row r="12" spans="1:24" s="46" customFormat="1" ht="45" customHeight="1">
      <c r="A12" s="78">
        <v>2025</v>
      </c>
      <c r="B12" s="78">
        <v>10</v>
      </c>
      <c r="C12" s="78" t="s">
        <v>132</v>
      </c>
      <c r="D12" s="78" t="s">
        <v>155</v>
      </c>
      <c r="E12" s="80" t="s">
        <v>156</v>
      </c>
      <c r="F12" s="80" t="s">
        <v>157</v>
      </c>
      <c r="G12" s="81">
        <v>45962</v>
      </c>
      <c r="H12" s="82">
        <v>46265</v>
      </c>
      <c r="I12" s="82" t="s">
        <v>76</v>
      </c>
      <c r="J12" s="82">
        <v>45922</v>
      </c>
      <c r="K12" s="83">
        <v>76700000</v>
      </c>
      <c r="L12" s="84" t="s">
        <v>251</v>
      </c>
      <c r="M12" s="98"/>
      <c r="N12" s="128" t="s">
        <v>160</v>
      </c>
      <c r="O12" s="128"/>
      <c r="P12" s="128"/>
      <c r="Q12" s="128"/>
      <c r="R12" s="128"/>
      <c r="S12" s="128"/>
      <c r="T12" s="128"/>
      <c r="U12" s="128"/>
      <c r="V12" s="128"/>
      <c r="W12" s="128"/>
      <c r="X12" s="129" t="s">
        <v>400</v>
      </c>
    </row>
    <row r="13" spans="1:24" ht="45" customHeight="1">
      <c r="A13" s="149">
        <v>2025</v>
      </c>
      <c r="B13" s="150">
        <v>11</v>
      </c>
      <c r="C13" s="149" t="s">
        <v>132</v>
      </c>
      <c r="D13" s="149" t="s">
        <v>158</v>
      </c>
      <c r="E13" s="151" t="s">
        <v>159</v>
      </c>
      <c r="F13" s="151" t="s">
        <v>57</v>
      </c>
      <c r="G13" s="152">
        <v>45809</v>
      </c>
      <c r="H13" s="153">
        <v>45912</v>
      </c>
      <c r="I13" s="153"/>
      <c r="J13" s="153"/>
      <c r="K13" s="154">
        <v>320000</v>
      </c>
      <c r="L13" s="149" t="s">
        <v>76</v>
      </c>
      <c r="M13" s="155"/>
      <c r="N13" s="152">
        <v>45932</v>
      </c>
      <c r="O13" s="152" t="s">
        <v>401</v>
      </c>
      <c r="P13" s="152" t="s">
        <v>259</v>
      </c>
      <c r="Q13" s="152">
        <v>45932</v>
      </c>
      <c r="R13" s="152"/>
      <c r="S13" s="152" t="s">
        <v>264</v>
      </c>
      <c r="T13" s="152" t="s">
        <v>261</v>
      </c>
      <c r="U13" s="152" t="s">
        <v>402</v>
      </c>
      <c r="V13" s="152" t="s">
        <v>263</v>
      </c>
      <c r="W13" s="152" t="s">
        <v>264</v>
      </c>
      <c r="X13" s="156" t="s">
        <v>403</v>
      </c>
    </row>
    <row r="14" spans="1:24" ht="45" customHeight="1">
      <c r="A14" s="136">
        <v>2025</v>
      </c>
      <c r="B14" s="132">
        <v>12</v>
      </c>
      <c r="C14" s="136" t="s">
        <v>132</v>
      </c>
      <c r="D14" s="136" t="s">
        <v>161</v>
      </c>
      <c r="E14" s="138" t="s">
        <v>162</v>
      </c>
      <c r="F14" s="138" t="s">
        <v>163</v>
      </c>
      <c r="G14" s="134" t="s">
        <v>60</v>
      </c>
      <c r="H14" s="134" t="s">
        <v>60</v>
      </c>
      <c r="I14" s="134" t="s">
        <v>60</v>
      </c>
      <c r="J14" s="134" t="s">
        <v>60</v>
      </c>
      <c r="K14" s="134" t="s">
        <v>60</v>
      </c>
      <c r="L14" s="136" t="s">
        <v>76</v>
      </c>
      <c r="M14" s="157"/>
      <c r="N14" s="128" t="s">
        <v>56</v>
      </c>
      <c r="O14" s="128"/>
      <c r="P14" s="128"/>
      <c r="Q14" s="128"/>
      <c r="R14" s="128"/>
      <c r="S14" s="128"/>
      <c r="T14" s="128"/>
      <c r="U14" s="128"/>
      <c r="V14" s="128"/>
      <c r="W14" s="128"/>
      <c r="X14" s="129"/>
    </row>
    <row r="15" spans="1:24" ht="45" customHeight="1">
      <c r="A15" s="84">
        <v>2025</v>
      </c>
      <c r="B15" s="78">
        <v>13</v>
      </c>
      <c r="C15" s="84" t="s">
        <v>132</v>
      </c>
      <c r="D15" s="84" t="s">
        <v>164</v>
      </c>
      <c r="E15" s="99" t="s">
        <v>165</v>
      </c>
      <c r="F15" s="99" t="s">
        <v>148</v>
      </c>
      <c r="G15" s="100">
        <v>46032</v>
      </c>
      <c r="H15" s="82">
        <v>46063</v>
      </c>
      <c r="I15" s="82" t="s">
        <v>251</v>
      </c>
      <c r="J15" s="82">
        <v>46032</v>
      </c>
      <c r="K15" s="83">
        <v>2950000</v>
      </c>
      <c r="L15" s="84" t="s">
        <v>76</v>
      </c>
      <c r="M15" s="101"/>
      <c r="N15" s="128" t="s">
        <v>56</v>
      </c>
      <c r="O15" s="128"/>
      <c r="P15" s="128"/>
      <c r="Q15" s="128"/>
      <c r="R15" s="128"/>
      <c r="S15" s="128"/>
      <c r="T15" s="128"/>
      <c r="U15" s="128"/>
      <c r="V15" s="128"/>
      <c r="W15" s="128"/>
      <c r="X15" s="129"/>
    </row>
    <row r="16" spans="1:24" ht="45" customHeight="1">
      <c r="A16" s="78">
        <v>2025</v>
      </c>
      <c r="B16" s="78">
        <v>14</v>
      </c>
      <c r="C16" s="78" t="s">
        <v>166</v>
      </c>
      <c r="D16" s="78" t="s">
        <v>167</v>
      </c>
      <c r="E16" s="80" t="s">
        <v>168</v>
      </c>
      <c r="F16" s="80" t="s">
        <v>169</v>
      </c>
      <c r="G16" s="81">
        <v>45778</v>
      </c>
      <c r="H16" s="82">
        <v>45961</v>
      </c>
      <c r="I16" s="82"/>
      <c r="J16" s="82"/>
      <c r="K16" s="83">
        <v>56800000</v>
      </c>
      <c r="L16" s="84" t="s">
        <v>76</v>
      </c>
      <c r="M16" s="98"/>
      <c r="N16" s="127" t="s">
        <v>160</v>
      </c>
      <c r="O16" s="128"/>
      <c r="P16" s="128"/>
      <c r="Q16" s="128"/>
      <c r="R16" s="128"/>
      <c r="S16" s="128"/>
      <c r="T16" s="128"/>
      <c r="U16" s="128"/>
      <c r="V16" s="128"/>
      <c r="W16" s="128"/>
      <c r="X16" s="129"/>
    </row>
    <row r="17" spans="1:24" ht="45" customHeight="1">
      <c r="A17" s="136">
        <v>2025</v>
      </c>
      <c r="B17" s="132">
        <v>15</v>
      </c>
      <c r="C17" s="158" t="s">
        <v>929</v>
      </c>
      <c r="D17" s="136" t="s">
        <v>170</v>
      </c>
      <c r="E17" s="159" t="s">
        <v>171</v>
      </c>
      <c r="F17" s="138" t="s">
        <v>157</v>
      </c>
      <c r="G17" s="128">
        <v>45636</v>
      </c>
      <c r="H17" s="134">
        <v>45828</v>
      </c>
      <c r="I17" s="134" t="s">
        <v>76</v>
      </c>
      <c r="J17" s="134">
        <v>45723</v>
      </c>
      <c r="K17" s="135">
        <v>10000000</v>
      </c>
      <c r="L17" s="136" t="s">
        <v>76</v>
      </c>
      <c r="M17" s="157"/>
      <c r="N17" s="131" t="s">
        <v>56</v>
      </c>
      <c r="O17" s="131"/>
      <c r="P17" s="131"/>
      <c r="Q17" s="131"/>
      <c r="R17" s="131"/>
      <c r="S17" s="131"/>
      <c r="T17" s="131"/>
      <c r="U17" s="131"/>
      <c r="V17" s="131"/>
      <c r="W17" s="131"/>
      <c r="X17" s="160"/>
    </row>
    <row r="18" spans="1:24" ht="45" customHeight="1">
      <c r="A18" s="140">
        <v>2025</v>
      </c>
      <c r="B18" s="140">
        <v>16</v>
      </c>
      <c r="C18" s="145" t="s">
        <v>132</v>
      </c>
      <c r="D18" s="140" t="s">
        <v>172</v>
      </c>
      <c r="E18" s="141" t="s">
        <v>173</v>
      </c>
      <c r="F18" s="141"/>
      <c r="G18" s="142"/>
      <c r="H18" s="143"/>
      <c r="I18" s="161"/>
      <c r="J18" s="161"/>
      <c r="K18" s="140" t="s">
        <v>56</v>
      </c>
      <c r="L18" s="140" t="s">
        <v>60</v>
      </c>
      <c r="M18" s="162"/>
      <c r="N18" s="163" t="s">
        <v>56</v>
      </c>
      <c r="O18" s="163" t="s">
        <v>56</v>
      </c>
      <c r="P18" s="163" t="s">
        <v>56</v>
      </c>
      <c r="Q18" s="163" t="s">
        <v>56</v>
      </c>
      <c r="R18" s="163" t="s">
        <v>56</v>
      </c>
      <c r="S18" s="163" t="s">
        <v>56</v>
      </c>
      <c r="T18" s="163" t="s">
        <v>56</v>
      </c>
      <c r="U18" s="163" t="s">
        <v>56</v>
      </c>
      <c r="V18" s="163" t="s">
        <v>56</v>
      </c>
      <c r="W18" s="163" t="s">
        <v>56</v>
      </c>
      <c r="X18" s="164"/>
    </row>
    <row r="19" spans="1:24" ht="45" customHeight="1">
      <c r="A19" s="84">
        <v>2025</v>
      </c>
      <c r="B19" s="78">
        <v>17</v>
      </c>
      <c r="C19" s="84" t="s">
        <v>132</v>
      </c>
      <c r="D19" s="84" t="s">
        <v>174</v>
      </c>
      <c r="E19" s="99" t="s">
        <v>175</v>
      </c>
      <c r="F19" s="99" t="s">
        <v>176</v>
      </c>
      <c r="G19" s="100"/>
      <c r="H19" s="82"/>
      <c r="I19" s="82"/>
      <c r="J19" s="82" t="s">
        <v>404</v>
      </c>
      <c r="K19" s="83">
        <f>23000000+114000000</f>
        <v>137000000</v>
      </c>
      <c r="L19" s="84" t="s">
        <v>76</v>
      </c>
      <c r="M19" s="102" t="s">
        <v>405</v>
      </c>
      <c r="N19" s="100" t="s">
        <v>56</v>
      </c>
      <c r="O19" s="100"/>
      <c r="P19" s="100"/>
      <c r="Q19" s="100"/>
      <c r="R19" s="100"/>
      <c r="S19" s="100"/>
      <c r="T19" s="100"/>
      <c r="U19" s="100"/>
      <c r="V19" s="100"/>
      <c r="W19" s="100"/>
      <c r="X19" s="103"/>
    </row>
    <row r="20" spans="1:24" s="46" customFormat="1" ht="45" customHeight="1">
      <c r="A20" s="84">
        <v>2025</v>
      </c>
      <c r="B20" s="78">
        <v>18</v>
      </c>
      <c r="C20" s="84" t="s">
        <v>209</v>
      </c>
      <c r="D20" s="84" t="s">
        <v>177</v>
      </c>
      <c r="E20" s="99" t="s">
        <v>406</v>
      </c>
      <c r="F20" s="99" t="s">
        <v>407</v>
      </c>
      <c r="G20" s="100">
        <v>45992</v>
      </c>
      <c r="H20" s="82">
        <v>46295</v>
      </c>
      <c r="I20" s="82" t="s">
        <v>76</v>
      </c>
      <c r="J20" s="82">
        <v>45807</v>
      </c>
      <c r="K20" s="83">
        <v>420000000</v>
      </c>
      <c r="L20" s="84" t="s">
        <v>251</v>
      </c>
      <c r="M20" s="102" t="s">
        <v>408</v>
      </c>
      <c r="N20" s="128" t="s">
        <v>56</v>
      </c>
      <c r="O20" s="128"/>
      <c r="P20" s="128"/>
      <c r="Q20" s="128"/>
      <c r="R20" s="128"/>
      <c r="S20" s="128"/>
      <c r="T20" s="128"/>
      <c r="U20" s="128"/>
      <c r="V20" s="128"/>
      <c r="W20" s="128"/>
      <c r="X20" s="129" t="s">
        <v>409</v>
      </c>
    </row>
    <row r="21" spans="1:24" ht="45" customHeight="1">
      <c r="A21" s="84">
        <v>2025</v>
      </c>
      <c r="B21" s="78">
        <v>19</v>
      </c>
      <c r="C21" s="84" t="s">
        <v>132</v>
      </c>
      <c r="D21" s="84" t="s">
        <v>178</v>
      </c>
      <c r="E21" s="99" t="s">
        <v>179</v>
      </c>
      <c r="F21" s="99" t="s">
        <v>180</v>
      </c>
      <c r="G21" s="100">
        <v>45809</v>
      </c>
      <c r="H21" s="82">
        <v>46081</v>
      </c>
      <c r="I21" s="82"/>
      <c r="J21" s="82"/>
      <c r="K21" s="83">
        <v>224000000</v>
      </c>
      <c r="L21" s="84" t="s">
        <v>76</v>
      </c>
      <c r="M21" s="101" t="s">
        <v>410</v>
      </c>
      <c r="N21" s="128" t="s">
        <v>56</v>
      </c>
      <c r="O21" s="128"/>
      <c r="P21" s="128"/>
      <c r="Q21" s="128"/>
      <c r="R21" s="128"/>
      <c r="S21" s="128"/>
      <c r="T21" s="128"/>
      <c r="U21" s="128"/>
      <c r="V21" s="128"/>
      <c r="W21" s="128"/>
      <c r="X21" s="129"/>
    </row>
    <row r="22" spans="1:24" s="46" customFormat="1" ht="45" customHeight="1">
      <c r="A22" s="84">
        <v>2025</v>
      </c>
      <c r="B22" s="78">
        <v>20</v>
      </c>
      <c r="C22" s="84" t="s">
        <v>181</v>
      </c>
      <c r="D22" s="84" t="s">
        <v>182</v>
      </c>
      <c r="E22" s="99" t="s">
        <v>183</v>
      </c>
      <c r="F22" s="99" t="s">
        <v>184</v>
      </c>
      <c r="G22" s="100">
        <v>45856</v>
      </c>
      <c r="H22" s="82">
        <v>46173</v>
      </c>
      <c r="I22" s="82" t="s">
        <v>76</v>
      </c>
      <c r="J22" s="82">
        <v>45856</v>
      </c>
      <c r="K22" s="83">
        <v>605000000</v>
      </c>
      <c r="L22" s="84" t="s">
        <v>76</v>
      </c>
      <c r="M22" s="101"/>
      <c r="N22" s="128" t="s">
        <v>56</v>
      </c>
      <c r="O22" s="165"/>
      <c r="P22" s="165"/>
      <c r="Q22" s="165"/>
      <c r="R22" s="165"/>
      <c r="S22" s="165"/>
      <c r="T22" s="165"/>
      <c r="U22" s="165"/>
      <c r="V22" s="165"/>
      <c r="W22" s="165"/>
      <c r="X22" s="166"/>
    </row>
    <row r="23" spans="1:24" s="46" customFormat="1" ht="45" customHeight="1">
      <c r="A23" s="78">
        <v>2025</v>
      </c>
      <c r="B23" s="78">
        <v>21</v>
      </c>
      <c r="C23" s="78" t="s">
        <v>181</v>
      </c>
      <c r="D23" s="78" t="s">
        <v>185</v>
      </c>
      <c r="E23" s="80" t="s">
        <v>186</v>
      </c>
      <c r="F23" s="80" t="s">
        <v>187</v>
      </c>
      <c r="G23" s="81">
        <v>45888</v>
      </c>
      <c r="H23" s="82">
        <v>46265</v>
      </c>
      <c r="I23" s="82" t="s">
        <v>76</v>
      </c>
      <c r="J23" s="82">
        <v>45841</v>
      </c>
      <c r="K23" s="83">
        <v>878000000</v>
      </c>
      <c r="L23" s="84" t="s">
        <v>76</v>
      </c>
      <c r="M23" s="98"/>
      <c r="N23" s="128" t="s">
        <v>56</v>
      </c>
      <c r="O23" s="128"/>
      <c r="P23" s="128"/>
      <c r="Q23" s="128"/>
      <c r="R23" s="128"/>
      <c r="S23" s="128"/>
      <c r="T23" s="128"/>
      <c r="U23" s="128"/>
      <c r="V23" s="128"/>
      <c r="W23" s="128"/>
      <c r="X23" s="129" t="s">
        <v>411</v>
      </c>
    </row>
    <row r="24" spans="1:24" ht="45" customHeight="1">
      <c r="A24" s="167">
        <v>2025</v>
      </c>
      <c r="B24" s="168">
        <v>22</v>
      </c>
      <c r="C24" s="167" t="s">
        <v>166</v>
      </c>
      <c r="D24" s="167" t="s">
        <v>188</v>
      </c>
      <c r="E24" s="169" t="s">
        <v>189</v>
      </c>
      <c r="F24" s="169" t="s">
        <v>190</v>
      </c>
      <c r="G24" s="170">
        <v>45838</v>
      </c>
      <c r="H24" s="171">
        <v>45959</v>
      </c>
      <c r="I24" s="82" t="s">
        <v>76</v>
      </c>
      <c r="J24" s="171">
        <v>45838</v>
      </c>
      <c r="K24" s="172">
        <v>23280500</v>
      </c>
      <c r="L24" s="167" t="s">
        <v>76</v>
      </c>
      <c r="M24" s="173"/>
      <c r="N24" s="152">
        <v>45962</v>
      </c>
      <c r="O24" s="152" t="s">
        <v>412</v>
      </c>
      <c r="P24" s="152" t="s">
        <v>259</v>
      </c>
      <c r="Q24" s="152">
        <v>45967</v>
      </c>
      <c r="R24" s="152"/>
      <c r="S24" s="152" t="s">
        <v>266</v>
      </c>
      <c r="T24" s="152" t="s">
        <v>267</v>
      </c>
      <c r="U24" s="152" t="s">
        <v>268</v>
      </c>
      <c r="V24" s="152" t="s">
        <v>268</v>
      </c>
      <c r="W24" s="152" t="s">
        <v>266</v>
      </c>
      <c r="X24" s="156" t="s">
        <v>413</v>
      </c>
    </row>
    <row r="25" spans="1:24" s="46" customFormat="1" ht="45" customHeight="1">
      <c r="A25" s="84">
        <v>2025</v>
      </c>
      <c r="B25" s="78">
        <v>23</v>
      </c>
      <c r="C25" s="84" t="s">
        <v>166</v>
      </c>
      <c r="D25" s="84" t="s">
        <v>191</v>
      </c>
      <c r="E25" s="99" t="s">
        <v>414</v>
      </c>
      <c r="F25" s="99" t="s">
        <v>192</v>
      </c>
      <c r="G25" s="100">
        <v>45839</v>
      </c>
      <c r="H25" s="82"/>
      <c r="I25" s="82" t="s">
        <v>251</v>
      </c>
      <c r="J25" s="82">
        <v>45834</v>
      </c>
      <c r="K25" s="89">
        <v>149000000</v>
      </c>
      <c r="L25" s="84" t="s">
        <v>251</v>
      </c>
      <c r="M25" s="101" t="s">
        <v>415</v>
      </c>
      <c r="N25" s="128"/>
      <c r="O25" s="128"/>
      <c r="P25" s="128"/>
      <c r="Q25" s="128"/>
      <c r="R25" s="128"/>
      <c r="S25" s="128"/>
      <c r="T25" s="128"/>
      <c r="U25" s="128"/>
      <c r="V25" s="128"/>
      <c r="W25" s="128"/>
      <c r="X25" s="129"/>
    </row>
    <row r="26" spans="1:24" ht="45" customHeight="1">
      <c r="A26" s="140">
        <v>2025</v>
      </c>
      <c r="B26" s="140">
        <v>24</v>
      </c>
      <c r="C26" s="140" t="s">
        <v>166</v>
      </c>
      <c r="D26" s="140" t="s">
        <v>193</v>
      </c>
      <c r="E26" s="141" t="s">
        <v>194</v>
      </c>
      <c r="F26" s="141" t="s">
        <v>195</v>
      </c>
      <c r="G26" s="174">
        <v>45845</v>
      </c>
      <c r="H26" s="175">
        <v>45852</v>
      </c>
      <c r="I26" s="143" t="s">
        <v>60</v>
      </c>
      <c r="J26" s="143" t="s">
        <v>60</v>
      </c>
      <c r="K26" s="144">
        <v>756000</v>
      </c>
      <c r="L26" s="140" t="s">
        <v>60</v>
      </c>
      <c r="M26" s="162"/>
      <c r="N26" s="142">
        <v>45862</v>
      </c>
      <c r="O26" s="147" t="s">
        <v>61</v>
      </c>
      <c r="P26" s="147" t="s">
        <v>58</v>
      </c>
      <c r="Q26" s="176">
        <v>45862</v>
      </c>
      <c r="R26" s="176">
        <v>45852</v>
      </c>
      <c r="S26" s="164" t="s">
        <v>195</v>
      </c>
      <c r="T26" s="147" t="s">
        <v>269</v>
      </c>
      <c r="U26" s="164" t="s">
        <v>62</v>
      </c>
      <c r="V26" s="147" t="s">
        <v>63</v>
      </c>
      <c r="W26" s="147" t="s">
        <v>59</v>
      </c>
      <c r="X26" s="164"/>
    </row>
    <row r="27" spans="1:24" ht="45" customHeight="1">
      <c r="A27" s="145">
        <v>2025</v>
      </c>
      <c r="B27" s="140">
        <v>25</v>
      </c>
      <c r="C27" s="145" t="s">
        <v>196</v>
      </c>
      <c r="D27" s="145" t="s">
        <v>197</v>
      </c>
      <c r="E27" s="177" t="s">
        <v>198</v>
      </c>
      <c r="F27" s="177" t="s">
        <v>199</v>
      </c>
      <c r="G27" s="176">
        <v>45813</v>
      </c>
      <c r="H27" s="175">
        <v>45813</v>
      </c>
      <c r="I27" s="143" t="s">
        <v>60</v>
      </c>
      <c r="J27" s="143" t="s">
        <v>60</v>
      </c>
      <c r="K27" s="144">
        <v>37200</v>
      </c>
      <c r="L27" s="178" t="s">
        <v>60</v>
      </c>
      <c r="M27" s="179"/>
      <c r="N27" s="147">
        <v>45849</v>
      </c>
      <c r="O27" s="147" t="s">
        <v>265</v>
      </c>
      <c r="P27" s="147" t="s">
        <v>58</v>
      </c>
      <c r="Q27" s="176">
        <v>45849</v>
      </c>
      <c r="R27" s="176">
        <v>45841</v>
      </c>
      <c r="S27" s="164" t="s">
        <v>270</v>
      </c>
      <c r="T27" s="147" t="s">
        <v>271</v>
      </c>
      <c r="U27" s="164" t="s">
        <v>272</v>
      </c>
      <c r="V27" s="147" t="s">
        <v>273</v>
      </c>
      <c r="W27" s="147" t="s">
        <v>274</v>
      </c>
      <c r="X27" s="164"/>
    </row>
    <row r="28" spans="1:24" s="46" customFormat="1" ht="45" customHeight="1">
      <c r="A28" s="78">
        <v>2025</v>
      </c>
      <c r="B28" s="78">
        <v>26</v>
      </c>
      <c r="C28" s="78" t="s">
        <v>200</v>
      </c>
      <c r="D28" s="78" t="s">
        <v>201</v>
      </c>
      <c r="E28" s="80" t="s">
        <v>202</v>
      </c>
      <c r="F28" s="78" t="s">
        <v>203</v>
      </c>
      <c r="G28" s="81">
        <v>45870</v>
      </c>
      <c r="H28" s="82">
        <v>45747</v>
      </c>
      <c r="I28" s="82" t="s">
        <v>76</v>
      </c>
      <c r="J28" s="82">
        <v>45856</v>
      </c>
      <c r="K28" s="83">
        <v>172727273</v>
      </c>
      <c r="L28" s="84" t="s">
        <v>76</v>
      </c>
      <c r="M28" s="98"/>
      <c r="N28" s="180" t="s">
        <v>56</v>
      </c>
      <c r="O28" s="128"/>
      <c r="P28" s="128"/>
      <c r="Q28" s="128"/>
      <c r="R28" s="128"/>
      <c r="S28" s="128"/>
      <c r="T28" s="128"/>
      <c r="U28" s="128"/>
      <c r="V28" s="128"/>
      <c r="W28" s="128"/>
      <c r="X28" s="129"/>
    </row>
    <row r="29" spans="1:24" ht="45" customHeight="1">
      <c r="A29" s="140">
        <v>2025</v>
      </c>
      <c r="B29" s="140">
        <v>27</v>
      </c>
      <c r="C29" s="140" t="s">
        <v>200</v>
      </c>
      <c r="D29" s="140" t="s">
        <v>204</v>
      </c>
      <c r="E29" s="141" t="s">
        <v>205</v>
      </c>
      <c r="F29" s="141" t="s">
        <v>206</v>
      </c>
      <c r="G29" s="142">
        <v>45817</v>
      </c>
      <c r="H29" s="143">
        <v>45898</v>
      </c>
      <c r="I29" s="143" t="s">
        <v>76</v>
      </c>
      <c r="J29" s="143">
        <v>45827</v>
      </c>
      <c r="K29" s="144">
        <v>10060000</v>
      </c>
      <c r="L29" s="145" t="s">
        <v>416</v>
      </c>
      <c r="M29" s="162"/>
      <c r="N29" s="181" t="s">
        <v>417</v>
      </c>
      <c r="O29" s="147"/>
      <c r="P29" s="147"/>
      <c r="Q29" s="147"/>
      <c r="R29" s="147"/>
      <c r="S29" s="147"/>
      <c r="T29" s="147"/>
      <c r="U29" s="147"/>
      <c r="V29" s="147"/>
      <c r="W29" s="147"/>
      <c r="X29" s="164"/>
    </row>
    <row r="30" spans="1:24" ht="45" customHeight="1">
      <c r="A30" s="140">
        <v>2025</v>
      </c>
      <c r="B30" s="140">
        <v>28</v>
      </c>
      <c r="C30" s="140" t="s">
        <v>200</v>
      </c>
      <c r="D30" s="140" t="s">
        <v>207</v>
      </c>
      <c r="E30" s="141" t="s">
        <v>208</v>
      </c>
      <c r="F30" s="141" t="s">
        <v>206</v>
      </c>
      <c r="G30" s="142">
        <v>45833</v>
      </c>
      <c r="H30" s="143">
        <v>45851</v>
      </c>
      <c r="I30" s="143" t="s">
        <v>76</v>
      </c>
      <c r="J30" s="143">
        <v>45831</v>
      </c>
      <c r="K30" s="144">
        <f>1470000+290000</f>
        <v>1760000</v>
      </c>
      <c r="L30" s="145" t="s">
        <v>418</v>
      </c>
      <c r="M30" s="162"/>
      <c r="N30" s="142" t="s">
        <v>419</v>
      </c>
      <c r="O30" s="147"/>
      <c r="P30" s="147"/>
      <c r="Q30" s="147"/>
      <c r="R30" s="147"/>
      <c r="S30" s="147"/>
      <c r="T30" s="147"/>
      <c r="U30" s="147"/>
      <c r="V30" s="147"/>
      <c r="W30" s="147"/>
      <c r="X30" s="164"/>
    </row>
    <row r="31" spans="1:24" ht="45" customHeight="1">
      <c r="A31" s="84">
        <v>2025</v>
      </c>
      <c r="B31" s="78">
        <v>29</v>
      </c>
      <c r="C31" s="84" t="s">
        <v>209</v>
      </c>
      <c r="D31" s="84" t="s">
        <v>210</v>
      </c>
      <c r="E31" s="99" t="s">
        <v>211</v>
      </c>
      <c r="F31" s="109" t="s">
        <v>930</v>
      </c>
      <c r="G31" s="110">
        <v>45261</v>
      </c>
      <c r="H31" s="110">
        <v>46112</v>
      </c>
      <c r="I31" s="82" t="s">
        <v>76</v>
      </c>
      <c r="J31" s="110">
        <v>45920</v>
      </c>
      <c r="K31" s="83">
        <v>1416121000</v>
      </c>
      <c r="L31" s="84" t="s">
        <v>76</v>
      </c>
      <c r="M31" s="111" t="s">
        <v>212</v>
      </c>
      <c r="N31" s="128"/>
      <c r="O31" s="128"/>
      <c r="P31" s="128"/>
      <c r="Q31" s="128"/>
      <c r="R31" s="128"/>
      <c r="S31" s="128"/>
      <c r="T31" s="128"/>
      <c r="U31" s="128"/>
      <c r="V31" s="128"/>
      <c r="W31" s="128"/>
      <c r="X31" s="129"/>
    </row>
    <row r="32" spans="1:24" ht="45" customHeight="1">
      <c r="A32" s="140">
        <v>2025</v>
      </c>
      <c r="B32" s="140">
        <v>30</v>
      </c>
      <c r="C32" s="140" t="s">
        <v>213</v>
      </c>
      <c r="D32" s="140" t="s">
        <v>214</v>
      </c>
      <c r="E32" s="141" t="s">
        <v>215</v>
      </c>
      <c r="F32" s="141" t="s">
        <v>216</v>
      </c>
      <c r="G32" s="142">
        <v>45835</v>
      </c>
      <c r="H32" s="143">
        <v>45838</v>
      </c>
      <c r="I32" s="143" t="s">
        <v>60</v>
      </c>
      <c r="J32" s="143" t="s">
        <v>60</v>
      </c>
      <c r="K32" s="144">
        <v>165000</v>
      </c>
      <c r="L32" s="140" t="s">
        <v>60</v>
      </c>
      <c r="M32" s="162"/>
      <c r="N32" s="142">
        <v>45875</v>
      </c>
      <c r="O32" s="147" t="s">
        <v>53</v>
      </c>
      <c r="P32" s="147" t="s">
        <v>54</v>
      </c>
      <c r="Q32" s="147">
        <v>45874</v>
      </c>
      <c r="R32" s="147">
        <v>45838</v>
      </c>
      <c r="S32" s="147" t="s">
        <v>275</v>
      </c>
      <c r="T32" s="147" t="s">
        <v>66</v>
      </c>
      <c r="U32" s="147" t="s">
        <v>276</v>
      </c>
      <c r="V32" s="147" t="s">
        <v>277</v>
      </c>
      <c r="W32" s="147" t="s">
        <v>52</v>
      </c>
      <c r="X32" s="164"/>
    </row>
    <row r="33" spans="1:24" ht="45" customHeight="1">
      <c r="A33" s="182">
        <v>2025</v>
      </c>
      <c r="B33" s="183">
        <v>31</v>
      </c>
      <c r="C33" s="182" t="s">
        <v>93</v>
      </c>
      <c r="D33" s="182" t="s">
        <v>217</v>
      </c>
      <c r="E33" s="184" t="s">
        <v>218</v>
      </c>
      <c r="F33" s="184" t="s">
        <v>206</v>
      </c>
      <c r="G33" s="185">
        <v>45793</v>
      </c>
      <c r="H33" s="186">
        <v>45898</v>
      </c>
      <c r="I33" s="186" t="s">
        <v>76</v>
      </c>
      <c r="J33" s="186">
        <v>45761</v>
      </c>
      <c r="K33" s="187">
        <v>3450000</v>
      </c>
      <c r="L33" s="182" t="s">
        <v>418</v>
      </c>
      <c r="M33" s="188"/>
      <c r="N33" s="142" t="s">
        <v>419</v>
      </c>
      <c r="O33" s="147"/>
      <c r="P33" s="147"/>
      <c r="Q33" s="147"/>
      <c r="R33" s="147"/>
      <c r="S33" s="147"/>
      <c r="T33" s="147"/>
      <c r="U33" s="147"/>
      <c r="V33" s="147"/>
      <c r="W33" s="147"/>
      <c r="X33" s="164"/>
    </row>
    <row r="34" spans="1:24" ht="45" customHeight="1">
      <c r="A34" s="145">
        <v>2025</v>
      </c>
      <c r="B34" s="140">
        <v>32</v>
      </c>
      <c r="C34" s="145" t="s">
        <v>219</v>
      </c>
      <c r="D34" s="145" t="s">
        <v>220</v>
      </c>
      <c r="E34" s="177" t="s">
        <v>221</v>
      </c>
      <c r="F34" s="177" t="s">
        <v>206</v>
      </c>
      <c r="G34" s="147">
        <v>45805</v>
      </c>
      <c r="H34" s="143">
        <v>45838</v>
      </c>
      <c r="I34" s="143" t="s">
        <v>76</v>
      </c>
      <c r="J34" s="189">
        <v>45805</v>
      </c>
      <c r="K34" s="144">
        <v>4070000</v>
      </c>
      <c r="L34" s="145" t="s">
        <v>418</v>
      </c>
      <c r="M34" s="179"/>
      <c r="N34" s="147" t="s">
        <v>419</v>
      </c>
      <c r="O34" s="147"/>
      <c r="P34" s="147"/>
      <c r="Q34" s="147"/>
      <c r="R34" s="147"/>
      <c r="S34" s="147"/>
      <c r="T34" s="147"/>
      <c r="U34" s="147"/>
      <c r="V34" s="147"/>
      <c r="W34" s="147"/>
      <c r="X34" s="164"/>
    </row>
    <row r="35" spans="1:24" ht="45" customHeight="1">
      <c r="A35" s="78">
        <v>2025</v>
      </c>
      <c r="B35" s="78">
        <v>33</v>
      </c>
      <c r="C35" s="78" t="s">
        <v>931</v>
      </c>
      <c r="D35" s="78" t="s">
        <v>222</v>
      </c>
      <c r="E35" s="80" t="s">
        <v>420</v>
      </c>
      <c r="F35" s="80" t="s">
        <v>421</v>
      </c>
      <c r="G35" s="81">
        <v>45800</v>
      </c>
      <c r="H35" s="82">
        <v>46081</v>
      </c>
      <c r="I35" s="82" t="s">
        <v>251</v>
      </c>
      <c r="J35" s="82">
        <v>45799</v>
      </c>
      <c r="K35" s="83">
        <v>1320000</v>
      </c>
      <c r="L35" s="84" t="s">
        <v>422</v>
      </c>
      <c r="M35" s="98" t="s">
        <v>423</v>
      </c>
      <c r="N35" s="127"/>
      <c r="O35" s="128"/>
      <c r="P35" s="128"/>
      <c r="Q35" s="128"/>
      <c r="R35" s="128"/>
      <c r="S35" s="128"/>
      <c r="T35" s="128"/>
      <c r="U35" s="128"/>
      <c r="V35" s="128"/>
      <c r="W35" s="128"/>
      <c r="X35" s="129"/>
    </row>
    <row r="36" spans="1:24" ht="45" customHeight="1">
      <c r="A36" s="132">
        <v>2025</v>
      </c>
      <c r="B36" s="132">
        <v>34</v>
      </c>
      <c r="C36" s="136" t="s">
        <v>67</v>
      </c>
      <c r="D36" s="136" t="s">
        <v>223</v>
      </c>
      <c r="E36" s="138" t="s">
        <v>224</v>
      </c>
      <c r="F36" s="138" t="s">
        <v>169</v>
      </c>
      <c r="G36" s="127">
        <v>45809</v>
      </c>
      <c r="H36" s="134">
        <v>45869</v>
      </c>
      <c r="I36" s="134"/>
      <c r="J36" s="134"/>
      <c r="K36" s="135">
        <v>450000</v>
      </c>
      <c r="L36" s="190" t="s">
        <v>60</v>
      </c>
      <c r="M36" s="157"/>
      <c r="N36" s="128"/>
      <c r="O36" s="128"/>
      <c r="P36" s="128"/>
      <c r="Q36" s="128"/>
      <c r="R36" s="128"/>
      <c r="S36" s="128"/>
      <c r="T36" s="128"/>
      <c r="U36" s="128"/>
      <c r="V36" s="128"/>
      <c r="W36" s="128"/>
      <c r="X36" s="129"/>
    </row>
    <row r="37" spans="1:24" ht="45" customHeight="1">
      <c r="A37" s="132">
        <v>2025</v>
      </c>
      <c r="B37" s="132">
        <v>35</v>
      </c>
      <c r="C37" s="136" t="s">
        <v>67</v>
      </c>
      <c r="D37" s="136" t="s">
        <v>225</v>
      </c>
      <c r="E37" s="138" t="s">
        <v>226</v>
      </c>
      <c r="F37" s="138" t="s">
        <v>169</v>
      </c>
      <c r="G37" s="81"/>
      <c r="H37" s="82"/>
      <c r="I37" s="134"/>
      <c r="J37" s="134"/>
      <c r="K37" s="135">
        <v>190000</v>
      </c>
      <c r="L37" s="190" t="s">
        <v>60</v>
      </c>
      <c r="M37" s="157"/>
      <c r="N37" s="128"/>
      <c r="O37" s="128"/>
      <c r="P37" s="128"/>
      <c r="Q37" s="128"/>
      <c r="R37" s="128"/>
      <c r="S37" s="128"/>
      <c r="T37" s="128"/>
      <c r="U37" s="128"/>
      <c r="V37" s="128"/>
      <c r="W37" s="128"/>
      <c r="X37" s="129"/>
    </row>
    <row r="38" spans="1:24" ht="45" customHeight="1">
      <c r="A38" s="140">
        <v>2025</v>
      </c>
      <c r="B38" s="140">
        <v>36</v>
      </c>
      <c r="C38" s="145" t="s">
        <v>227</v>
      </c>
      <c r="D38" s="145" t="s">
        <v>228</v>
      </c>
      <c r="E38" s="177" t="s">
        <v>229</v>
      </c>
      <c r="F38" s="177" t="s">
        <v>230</v>
      </c>
      <c r="G38" s="147">
        <v>45838</v>
      </c>
      <c r="H38" s="143">
        <v>45838</v>
      </c>
      <c r="I38" s="143"/>
      <c r="J38" s="143"/>
      <c r="K38" s="144">
        <v>8000</v>
      </c>
      <c r="L38" s="178" t="s">
        <v>60</v>
      </c>
      <c r="M38" s="179"/>
      <c r="N38" s="147">
        <v>45853</v>
      </c>
      <c r="O38" s="147" t="s">
        <v>53</v>
      </c>
      <c r="P38" s="147" t="s">
        <v>259</v>
      </c>
      <c r="Q38" s="147">
        <v>45846</v>
      </c>
      <c r="R38" s="147">
        <v>45838</v>
      </c>
      <c r="S38" s="147" t="s">
        <v>278</v>
      </c>
      <c r="T38" s="147" t="s">
        <v>69</v>
      </c>
      <c r="U38" s="147" t="s">
        <v>279</v>
      </c>
      <c r="V38" s="147" t="s">
        <v>230</v>
      </c>
      <c r="W38" s="147" t="s">
        <v>280</v>
      </c>
      <c r="X38" s="164"/>
    </row>
    <row r="39" spans="1:24" ht="45" customHeight="1">
      <c r="A39" s="140">
        <v>2025</v>
      </c>
      <c r="B39" s="140">
        <v>37</v>
      </c>
      <c r="C39" s="145" t="s">
        <v>227</v>
      </c>
      <c r="D39" s="145" t="s">
        <v>70</v>
      </c>
      <c r="E39" s="177" t="s">
        <v>231</v>
      </c>
      <c r="F39" s="177" t="s">
        <v>232</v>
      </c>
      <c r="G39" s="147">
        <v>45834</v>
      </c>
      <c r="H39" s="143">
        <v>45834</v>
      </c>
      <c r="I39" s="143"/>
      <c r="J39" s="143"/>
      <c r="K39" s="144">
        <v>15000</v>
      </c>
      <c r="L39" s="178" t="s">
        <v>60</v>
      </c>
      <c r="M39" s="179"/>
      <c r="N39" s="147">
        <v>45853</v>
      </c>
      <c r="O39" s="147" t="s">
        <v>53</v>
      </c>
      <c r="P39" s="147" t="s">
        <v>259</v>
      </c>
      <c r="Q39" s="147">
        <v>45846</v>
      </c>
      <c r="R39" s="147">
        <v>45834</v>
      </c>
      <c r="S39" s="147" t="s">
        <v>281</v>
      </c>
      <c r="T39" s="147" t="s">
        <v>282</v>
      </c>
      <c r="U39" s="147" t="s">
        <v>283</v>
      </c>
      <c r="V39" s="147" t="s">
        <v>284</v>
      </c>
      <c r="W39" s="147" t="s">
        <v>285</v>
      </c>
      <c r="X39" s="164"/>
    </row>
    <row r="40" spans="1:24" ht="45" customHeight="1">
      <c r="A40" s="140">
        <v>2025</v>
      </c>
      <c r="B40" s="140">
        <v>38</v>
      </c>
      <c r="C40" s="145" t="s">
        <v>68</v>
      </c>
      <c r="D40" s="145" t="s">
        <v>71</v>
      </c>
      <c r="E40" s="177" t="s">
        <v>233</v>
      </c>
      <c r="F40" s="177" t="s">
        <v>72</v>
      </c>
      <c r="G40" s="176">
        <v>45836</v>
      </c>
      <c r="H40" s="143">
        <v>45838</v>
      </c>
      <c r="I40" s="143" t="s">
        <v>60</v>
      </c>
      <c r="J40" s="143"/>
      <c r="K40" s="144">
        <v>55000</v>
      </c>
      <c r="L40" s="178" t="s">
        <v>60</v>
      </c>
      <c r="M40" s="179"/>
      <c r="N40" s="147">
        <v>45853</v>
      </c>
      <c r="O40" s="147" t="s">
        <v>53</v>
      </c>
      <c r="P40" s="147" t="s">
        <v>259</v>
      </c>
      <c r="Q40" s="147">
        <v>45846</v>
      </c>
      <c r="R40" s="147">
        <v>45838</v>
      </c>
      <c r="S40" s="147" t="s">
        <v>286</v>
      </c>
      <c r="T40" s="147" t="s">
        <v>287</v>
      </c>
      <c r="U40" s="147" t="s">
        <v>288</v>
      </c>
      <c r="V40" s="147" t="s">
        <v>289</v>
      </c>
      <c r="W40" s="147" t="s">
        <v>290</v>
      </c>
      <c r="X40" s="164"/>
    </row>
    <row r="41" spans="1:24" ht="45" customHeight="1">
      <c r="A41" s="140">
        <v>2025</v>
      </c>
      <c r="B41" s="140">
        <v>39</v>
      </c>
      <c r="C41" s="145" t="s">
        <v>200</v>
      </c>
      <c r="D41" s="145" t="s">
        <v>95</v>
      </c>
      <c r="E41" s="177" t="s">
        <v>96</v>
      </c>
      <c r="F41" s="177" t="s">
        <v>73</v>
      </c>
      <c r="G41" s="176">
        <v>45811</v>
      </c>
      <c r="H41" s="175">
        <v>45811</v>
      </c>
      <c r="I41" s="143" t="s">
        <v>60</v>
      </c>
      <c r="J41" s="143"/>
      <c r="K41" s="144">
        <v>76000</v>
      </c>
      <c r="L41" s="178" t="s">
        <v>60</v>
      </c>
      <c r="M41" s="179"/>
      <c r="N41" s="147">
        <v>45846</v>
      </c>
      <c r="O41" s="147" t="s">
        <v>53</v>
      </c>
      <c r="P41" s="147" t="s">
        <v>97</v>
      </c>
      <c r="Q41" s="176">
        <v>45846</v>
      </c>
      <c r="R41" s="176">
        <v>45811</v>
      </c>
      <c r="S41" s="147" t="s">
        <v>98</v>
      </c>
      <c r="T41" s="147" t="s">
        <v>99</v>
      </c>
      <c r="U41" s="147" t="s">
        <v>100</v>
      </c>
      <c r="V41" s="147" t="s">
        <v>101</v>
      </c>
      <c r="W41" s="147" t="s">
        <v>98</v>
      </c>
      <c r="X41" s="164"/>
    </row>
    <row r="42" spans="1:24" ht="45" customHeight="1">
      <c r="A42" s="140">
        <v>2025</v>
      </c>
      <c r="B42" s="140">
        <v>40</v>
      </c>
      <c r="C42" s="145" t="s">
        <v>200</v>
      </c>
      <c r="D42" s="145" t="s">
        <v>102</v>
      </c>
      <c r="E42" s="177" t="s">
        <v>103</v>
      </c>
      <c r="F42" s="177" t="s">
        <v>74</v>
      </c>
      <c r="G42" s="176">
        <v>45831</v>
      </c>
      <c r="H42" s="175">
        <v>45831</v>
      </c>
      <c r="I42" s="143" t="s">
        <v>60</v>
      </c>
      <c r="J42" s="143"/>
      <c r="K42" s="144">
        <v>50000</v>
      </c>
      <c r="L42" s="178" t="s">
        <v>60</v>
      </c>
      <c r="M42" s="179"/>
      <c r="N42" s="147">
        <v>45846</v>
      </c>
      <c r="O42" s="147" t="s">
        <v>265</v>
      </c>
      <c r="P42" s="147" t="s">
        <v>291</v>
      </c>
      <c r="Q42" s="176">
        <v>45846</v>
      </c>
      <c r="R42" s="176">
        <v>45831</v>
      </c>
      <c r="S42" s="147" t="s">
        <v>292</v>
      </c>
      <c r="T42" s="147" t="s">
        <v>293</v>
      </c>
      <c r="U42" s="147" t="s">
        <v>294</v>
      </c>
      <c r="V42" s="147" t="s">
        <v>295</v>
      </c>
      <c r="W42" s="147" t="s">
        <v>292</v>
      </c>
      <c r="X42" s="164"/>
    </row>
    <row r="43" spans="1:24" ht="45" customHeight="1">
      <c r="A43" s="140">
        <v>2025</v>
      </c>
      <c r="B43" s="140">
        <v>41</v>
      </c>
      <c r="C43" s="145" t="s">
        <v>200</v>
      </c>
      <c r="D43" s="145" t="s">
        <v>104</v>
      </c>
      <c r="E43" s="177" t="s">
        <v>105</v>
      </c>
      <c r="F43" s="177" t="s">
        <v>106</v>
      </c>
      <c r="G43" s="176">
        <v>45821</v>
      </c>
      <c r="H43" s="175">
        <v>45821</v>
      </c>
      <c r="I43" s="143"/>
      <c r="J43" s="143"/>
      <c r="K43" s="144">
        <v>40000</v>
      </c>
      <c r="L43" s="178" t="s">
        <v>60</v>
      </c>
      <c r="M43" s="179"/>
      <c r="N43" s="147">
        <v>45846</v>
      </c>
      <c r="O43" s="147" t="s">
        <v>265</v>
      </c>
      <c r="P43" s="147" t="s">
        <v>291</v>
      </c>
      <c r="Q43" s="176">
        <v>45846</v>
      </c>
      <c r="R43" s="176">
        <v>45821</v>
      </c>
      <c r="S43" s="147" t="s">
        <v>296</v>
      </c>
      <c r="T43" s="147" t="s">
        <v>293</v>
      </c>
      <c r="U43" s="147" t="s">
        <v>294</v>
      </c>
      <c r="V43" s="147" t="s">
        <v>295</v>
      </c>
      <c r="W43" s="147" t="s">
        <v>297</v>
      </c>
      <c r="X43" s="164"/>
    </row>
    <row r="44" spans="1:24" ht="45" customHeight="1">
      <c r="A44" s="140">
        <v>2025</v>
      </c>
      <c r="B44" s="140">
        <v>42</v>
      </c>
      <c r="C44" s="145" t="s">
        <v>200</v>
      </c>
      <c r="D44" s="145" t="s">
        <v>107</v>
      </c>
      <c r="E44" s="177" t="s">
        <v>108</v>
      </c>
      <c r="F44" s="177" t="s">
        <v>109</v>
      </c>
      <c r="G44" s="176">
        <v>45821</v>
      </c>
      <c r="H44" s="175">
        <v>45821</v>
      </c>
      <c r="I44" s="143"/>
      <c r="J44" s="143"/>
      <c r="K44" s="144">
        <v>15000</v>
      </c>
      <c r="L44" s="178" t="s">
        <v>60</v>
      </c>
      <c r="M44" s="179"/>
      <c r="N44" s="147">
        <v>45846</v>
      </c>
      <c r="O44" s="147" t="s">
        <v>53</v>
      </c>
      <c r="P44" s="147" t="s">
        <v>97</v>
      </c>
      <c r="Q44" s="176">
        <v>45846</v>
      </c>
      <c r="R44" s="176">
        <v>45821</v>
      </c>
      <c r="S44" s="147" t="s">
        <v>110</v>
      </c>
      <c r="T44" s="147" t="s">
        <v>99</v>
      </c>
      <c r="U44" s="147" t="s">
        <v>100</v>
      </c>
      <c r="V44" s="147" t="s">
        <v>101</v>
      </c>
      <c r="W44" s="147" t="s">
        <v>111</v>
      </c>
      <c r="X44" s="164"/>
    </row>
    <row r="45" spans="1:24" ht="45" customHeight="1">
      <c r="A45" s="183">
        <v>2025</v>
      </c>
      <c r="B45" s="183">
        <v>43</v>
      </c>
      <c r="C45" s="182" t="s">
        <v>234</v>
      </c>
      <c r="D45" s="182" t="s">
        <v>424</v>
      </c>
      <c r="E45" s="184" t="s">
        <v>235</v>
      </c>
      <c r="F45" s="184" t="s">
        <v>75</v>
      </c>
      <c r="G45" s="185">
        <v>45839</v>
      </c>
      <c r="H45" s="186">
        <v>45981</v>
      </c>
      <c r="I45" s="186" t="s">
        <v>76</v>
      </c>
      <c r="J45" s="186">
        <v>45811</v>
      </c>
      <c r="K45" s="187">
        <v>23670000</v>
      </c>
      <c r="L45" s="182" t="s">
        <v>76</v>
      </c>
      <c r="M45" s="188"/>
      <c r="N45" s="147">
        <v>45905</v>
      </c>
      <c r="O45" s="147" t="s">
        <v>258</v>
      </c>
      <c r="P45" s="147" t="s">
        <v>259</v>
      </c>
      <c r="Q45" s="147">
        <v>45905</v>
      </c>
      <c r="R45" s="147">
        <v>45864</v>
      </c>
      <c r="S45" s="147" t="s">
        <v>260</v>
      </c>
      <c r="T45" s="147" t="s">
        <v>261</v>
      </c>
      <c r="U45" s="147" t="s">
        <v>262</v>
      </c>
      <c r="V45" s="147" t="s">
        <v>263</v>
      </c>
      <c r="W45" s="147" t="s">
        <v>264</v>
      </c>
      <c r="X45" s="148" t="s">
        <v>425</v>
      </c>
    </row>
    <row r="46" spans="1:24" ht="45" customHeight="1">
      <c r="A46" s="140">
        <v>2025</v>
      </c>
      <c r="B46" s="140">
        <v>44</v>
      </c>
      <c r="C46" s="145" t="s">
        <v>236</v>
      </c>
      <c r="D46" s="145" t="s">
        <v>237</v>
      </c>
      <c r="E46" s="177" t="s">
        <v>238</v>
      </c>
      <c r="F46" s="177" t="s">
        <v>239</v>
      </c>
      <c r="G46" s="147">
        <v>45842</v>
      </c>
      <c r="H46" s="147">
        <v>45842</v>
      </c>
      <c r="I46" s="143" t="s">
        <v>60</v>
      </c>
      <c r="J46" s="143"/>
      <c r="K46" s="144">
        <v>260000</v>
      </c>
      <c r="L46" s="178" t="s">
        <v>60</v>
      </c>
      <c r="M46" s="179"/>
      <c r="N46" s="147">
        <v>45846</v>
      </c>
      <c r="O46" s="147" t="s">
        <v>53</v>
      </c>
      <c r="P46" s="147" t="s">
        <v>259</v>
      </c>
      <c r="Q46" s="176">
        <v>45846</v>
      </c>
      <c r="R46" s="147">
        <v>45846</v>
      </c>
      <c r="S46" s="147" t="s">
        <v>77</v>
      </c>
      <c r="T46" s="147" t="s">
        <v>78</v>
      </c>
      <c r="U46" s="191" t="s">
        <v>298</v>
      </c>
      <c r="V46" s="147" t="s">
        <v>79</v>
      </c>
      <c r="W46" s="147" t="s">
        <v>77</v>
      </c>
      <c r="X46" s="164"/>
    </row>
    <row r="47" spans="1:24" ht="45" customHeight="1">
      <c r="A47" s="132">
        <v>2025</v>
      </c>
      <c r="B47" s="132">
        <v>45</v>
      </c>
      <c r="C47" s="136" t="s">
        <v>55</v>
      </c>
      <c r="D47" s="136" t="s">
        <v>80</v>
      </c>
      <c r="E47" s="138" t="s">
        <v>241</v>
      </c>
      <c r="F47" s="138" t="s">
        <v>242</v>
      </c>
      <c r="G47" s="134" t="s">
        <v>60</v>
      </c>
      <c r="H47" s="134" t="s">
        <v>60</v>
      </c>
      <c r="I47" s="134" t="s">
        <v>60</v>
      </c>
      <c r="J47" s="134" t="s">
        <v>60</v>
      </c>
      <c r="K47" s="134" t="s">
        <v>60</v>
      </c>
      <c r="L47" s="136" t="s">
        <v>76</v>
      </c>
      <c r="M47" s="157"/>
      <c r="N47" s="128"/>
      <c r="O47" s="128"/>
      <c r="P47" s="128"/>
      <c r="Q47" s="192"/>
      <c r="R47" s="128"/>
      <c r="S47" s="128"/>
      <c r="T47" s="128"/>
      <c r="U47" s="193"/>
      <c r="V47" s="128"/>
      <c r="W47" s="128"/>
      <c r="X47" s="129"/>
    </row>
    <row r="48" spans="1:24" ht="45" customHeight="1">
      <c r="A48" s="78">
        <v>2025</v>
      </c>
      <c r="B48" s="78">
        <v>46</v>
      </c>
      <c r="C48" s="84" t="s">
        <v>55</v>
      </c>
      <c r="D48" s="84" t="s">
        <v>426</v>
      </c>
      <c r="E48" s="99" t="s">
        <v>119</v>
      </c>
      <c r="F48" s="99" t="s">
        <v>81</v>
      </c>
      <c r="G48" s="100">
        <v>45852</v>
      </c>
      <c r="H48" s="82">
        <v>45976</v>
      </c>
      <c r="I48" s="82" t="s">
        <v>76</v>
      </c>
      <c r="J48" s="82">
        <v>45848</v>
      </c>
      <c r="K48" s="83">
        <v>25250000</v>
      </c>
      <c r="L48" s="84" t="s">
        <v>76</v>
      </c>
      <c r="M48" s="101"/>
      <c r="N48" s="128"/>
      <c r="O48" s="128"/>
      <c r="P48" s="128"/>
      <c r="Q48" s="128"/>
      <c r="R48" s="128"/>
      <c r="S48" s="128"/>
      <c r="T48" s="128"/>
      <c r="U48" s="128"/>
      <c r="V48" s="128"/>
      <c r="W48" s="128"/>
      <c r="X48" s="129"/>
    </row>
    <row r="49" spans="1:24" ht="45" customHeight="1">
      <c r="A49" s="78">
        <v>2025</v>
      </c>
      <c r="B49" s="78">
        <v>47</v>
      </c>
      <c r="C49" s="84" t="s">
        <v>55</v>
      </c>
      <c r="D49" s="84" t="s">
        <v>427</v>
      </c>
      <c r="E49" s="99" t="s">
        <v>428</v>
      </c>
      <c r="F49" s="99" t="s">
        <v>82</v>
      </c>
      <c r="G49" s="100">
        <v>45848</v>
      </c>
      <c r="H49" s="82">
        <v>46031</v>
      </c>
      <c r="I49" s="82" t="s">
        <v>76</v>
      </c>
      <c r="J49" s="82">
        <v>45840</v>
      </c>
      <c r="K49" s="83">
        <v>7980000</v>
      </c>
      <c r="L49" s="84" t="s">
        <v>76</v>
      </c>
      <c r="M49" s="101"/>
      <c r="N49" s="128"/>
      <c r="O49" s="128"/>
      <c r="P49" s="128"/>
      <c r="Q49" s="128"/>
      <c r="R49" s="128"/>
      <c r="S49" s="128"/>
      <c r="T49" s="128"/>
      <c r="U49" s="128"/>
      <c r="V49" s="128"/>
      <c r="W49" s="128"/>
      <c r="X49" s="129"/>
    </row>
    <row r="50" spans="1:24" s="45" customFormat="1" ht="45" customHeight="1">
      <c r="A50" s="150">
        <v>2025</v>
      </c>
      <c r="B50" s="150">
        <v>48</v>
      </c>
      <c r="C50" s="149" t="s">
        <v>429</v>
      </c>
      <c r="D50" s="149" t="s">
        <v>83</v>
      </c>
      <c r="E50" s="151" t="s">
        <v>430</v>
      </c>
      <c r="F50" s="151" t="s">
        <v>431</v>
      </c>
      <c r="G50" s="152">
        <v>45878</v>
      </c>
      <c r="H50" s="153">
        <v>45880</v>
      </c>
      <c r="I50" s="153" t="s">
        <v>251</v>
      </c>
      <c r="J50" s="153">
        <v>45861</v>
      </c>
      <c r="K50" s="154">
        <v>490000</v>
      </c>
      <c r="L50" s="194" t="s">
        <v>240</v>
      </c>
      <c r="M50" s="195" t="s">
        <v>432</v>
      </c>
      <c r="N50" s="152">
        <v>45908</v>
      </c>
      <c r="O50" s="152" t="s">
        <v>53</v>
      </c>
      <c r="P50" s="152"/>
      <c r="Q50" s="152"/>
      <c r="R50" s="152">
        <v>45887</v>
      </c>
      <c r="S50" s="152" t="s">
        <v>433</v>
      </c>
      <c r="T50" s="152" t="s">
        <v>66</v>
      </c>
      <c r="U50" s="152" t="s">
        <v>434</v>
      </c>
      <c r="V50" s="152" t="s">
        <v>435</v>
      </c>
      <c r="W50" s="152" t="s">
        <v>52</v>
      </c>
      <c r="X50" s="196"/>
    </row>
    <row r="51" spans="1:24" ht="45" customHeight="1">
      <c r="A51" s="78">
        <v>2025</v>
      </c>
      <c r="B51" s="78">
        <v>49</v>
      </c>
      <c r="C51" s="84" t="s">
        <v>436</v>
      </c>
      <c r="D51" s="84" t="s">
        <v>85</v>
      </c>
      <c r="E51" s="99" t="s">
        <v>243</v>
      </c>
      <c r="F51" s="99" t="s">
        <v>86</v>
      </c>
      <c r="G51" s="100">
        <v>45888</v>
      </c>
      <c r="H51" s="82">
        <v>45976</v>
      </c>
      <c r="I51" s="82" t="s">
        <v>76</v>
      </c>
      <c r="J51" s="82">
        <v>45877</v>
      </c>
      <c r="K51" s="83">
        <v>18900000</v>
      </c>
      <c r="L51" s="84" t="s">
        <v>76</v>
      </c>
      <c r="M51" s="101"/>
      <c r="N51" s="128"/>
      <c r="O51" s="128"/>
      <c r="P51" s="128"/>
      <c r="Q51" s="128"/>
      <c r="R51" s="128"/>
      <c r="S51" s="128"/>
      <c r="T51" s="128"/>
      <c r="U51" s="128"/>
      <c r="V51" s="128"/>
      <c r="W51" s="128"/>
      <c r="X51" s="129"/>
    </row>
    <row r="52" spans="1:24" ht="45" customHeight="1">
      <c r="A52" s="78">
        <v>2025</v>
      </c>
      <c r="B52" s="78">
        <v>50</v>
      </c>
      <c r="C52" s="84" t="s">
        <v>64</v>
      </c>
      <c r="D52" s="84" t="s">
        <v>437</v>
      </c>
      <c r="E52" s="99" t="s">
        <v>438</v>
      </c>
      <c r="F52" s="99" t="s">
        <v>65</v>
      </c>
      <c r="G52" s="82" t="s">
        <v>60</v>
      </c>
      <c r="H52" s="82" t="s">
        <v>60</v>
      </c>
      <c r="I52" s="82" t="s">
        <v>60</v>
      </c>
      <c r="J52" s="82" t="s">
        <v>60</v>
      </c>
      <c r="K52" s="83">
        <v>17939200</v>
      </c>
      <c r="L52" s="84" t="s">
        <v>76</v>
      </c>
      <c r="M52" s="101"/>
      <c r="N52" s="128"/>
      <c r="O52" s="128"/>
      <c r="P52" s="128"/>
      <c r="Q52" s="128"/>
      <c r="R52" s="128"/>
      <c r="S52" s="128"/>
      <c r="T52" s="128"/>
      <c r="U52" s="128"/>
      <c r="V52" s="128"/>
      <c r="W52" s="128"/>
      <c r="X52" s="129"/>
    </row>
    <row r="53" spans="1:24" ht="45" customHeight="1">
      <c r="A53" s="145">
        <v>2025</v>
      </c>
      <c r="B53" s="145">
        <v>51</v>
      </c>
      <c r="C53" s="145" t="s">
        <v>244</v>
      </c>
      <c r="D53" s="145" t="s">
        <v>87</v>
      </c>
      <c r="E53" s="177" t="s">
        <v>245</v>
      </c>
      <c r="F53" s="177" t="s">
        <v>246</v>
      </c>
      <c r="G53" s="147">
        <v>45873</v>
      </c>
      <c r="H53" s="143">
        <v>45873</v>
      </c>
      <c r="I53" s="143" t="s">
        <v>240</v>
      </c>
      <c r="J53" s="143"/>
      <c r="K53" s="144">
        <v>200000</v>
      </c>
      <c r="L53" s="178" t="s">
        <v>60</v>
      </c>
      <c r="M53" s="179"/>
      <c r="N53" s="147">
        <v>45874</v>
      </c>
      <c r="O53" s="147" t="s">
        <v>265</v>
      </c>
      <c r="P53" s="147" t="s">
        <v>299</v>
      </c>
      <c r="Q53" s="147">
        <v>45874</v>
      </c>
      <c r="R53" s="147">
        <v>45873</v>
      </c>
      <c r="S53" s="147" t="s">
        <v>246</v>
      </c>
      <c r="T53" s="147" t="s">
        <v>300</v>
      </c>
      <c r="U53" s="147" t="s">
        <v>301</v>
      </c>
      <c r="V53" s="147" t="s">
        <v>89</v>
      </c>
      <c r="W53" s="147" t="s">
        <v>302</v>
      </c>
      <c r="X53" s="164"/>
    </row>
    <row r="54" spans="1:24" ht="45" customHeight="1">
      <c r="A54" s="84">
        <v>2025</v>
      </c>
      <c r="B54" s="84">
        <v>52</v>
      </c>
      <c r="C54" s="84" t="s">
        <v>234</v>
      </c>
      <c r="D54" s="84" t="s">
        <v>90</v>
      </c>
      <c r="E54" s="99" t="s">
        <v>247</v>
      </c>
      <c r="F54" s="99" t="s">
        <v>248</v>
      </c>
      <c r="G54" s="100">
        <v>45863</v>
      </c>
      <c r="H54" s="82">
        <v>46065</v>
      </c>
      <c r="I54" s="82" t="s">
        <v>76</v>
      </c>
      <c r="J54" s="82">
        <v>45862</v>
      </c>
      <c r="K54" s="83">
        <v>7650000</v>
      </c>
      <c r="L54" s="84" t="s">
        <v>76</v>
      </c>
      <c r="M54" s="101"/>
      <c r="N54" s="128"/>
      <c r="O54" s="128"/>
      <c r="P54" s="128"/>
      <c r="Q54" s="128"/>
      <c r="R54" s="128"/>
      <c r="S54" s="128"/>
      <c r="T54" s="128"/>
      <c r="U54" s="128"/>
      <c r="V54" s="128"/>
      <c r="W54" s="128"/>
      <c r="X54" s="129"/>
    </row>
    <row r="55" spans="1:24" s="46" customFormat="1" ht="45" customHeight="1">
      <c r="A55" s="84">
        <v>2025</v>
      </c>
      <c r="B55" s="84">
        <v>55</v>
      </c>
      <c r="C55" s="84" t="s">
        <v>200</v>
      </c>
      <c r="D55" s="84" t="s">
        <v>91</v>
      </c>
      <c r="E55" s="99" t="s">
        <v>249</v>
      </c>
      <c r="F55" s="99" t="s">
        <v>250</v>
      </c>
      <c r="G55" s="100">
        <v>45887</v>
      </c>
      <c r="H55" s="82">
        <v>46112</v>
      </c>
      <c r="I55" s="82" t="s">
        <v>251</v>
      </c>
      <c r="J55" s="82">
        <v>45876</v>
      </c>
      <c r="K55" s="83">
        <v>189000000</v>
      </c>
      <c r="L55" s="84" t="s">
        <v>418</v>
      </c>
      <c r="M55" s="101"/>
      <c r="N55" s="128"/>
      <c r="O55" s="128"/>
      <c r="P55" s="128"/>
      <c r="Q55" s="128"/>
      <c r="R55" s="128"/>
      <c r="S55" s="128"/>
      <c r="T55" s="128"/>
      <c r="U55" s="128"/>
      <c r="V55" s="128"/>
      <c r="W55" s="128"/>
      <c r="X55" s="129"/>
    </row>
    <row r="56" spans="1:24" ht="45" customHeight="1">
      <c r="A56" s="145">
        <v>2025</v>
      </c>
      <c r="B56" s="145">
        <v>56</v>
      </c>
      <c r="C56" s="145" t="s">
        <v>93</v>
      </c>
      <c r="D56" s="145" t="s">
        <v>92</v>
      </c>
      <c r="E56" s="177" t="s">
        <v>439</v>
      </c>
      <c r="F56" s="177" t="s">
        <v>94</v>
      </c>
      <c r="G56" s="147">
        <v>45833</v>
      </c>
      <c r="H56" s="143">
        <v>45846</v>
      </c>
      <c r="I56" s="143" t="s">
        <v>76</v>
      </c>
      <c r="J56" s="143">
        <v>45832</v>
      </c>
      <c r="K56" s="144">
        <v>220000</v>
      </c>
      <c r="L56" s="145" t="s">
        <v>418</v>
      </c>
      <c r="M56" s="197" t="s">
        <v>112</v>
      </c>
      <c r="N56" s="147" t="s">
        <v>419</v>
      </c>
      <c r="O56" s="147"/>
      <c r="P56" s="147"/>
      <c r="Q56" s="147"/>
      <c r="R56" s="147"/>
      <c r="S56" s="147"/>
      <c r="T56" s="147"/>
      <c r="U56" s="147"/>
      <c r="V56" s="147"/>
      <c r="W56" s="147"/>
      <c r="X56" s="164"/>
    </row>
    <row r="57" spans="1:24" ht="45" customHeight="1">
      <c r="A57" s="145">
        <v>2025</v>
      </c>
      <c r="B57" s="145">
        <v>57</v>
      </c>
      <c r="C57" s="145" t="s">
        <v>200</v>
      </c>
      <c r="D57" s="145" t="s">
        <v>113</v>
      </c>
      <c r="E57" s="177" t="s">
        <v>252</v>
      </c>
      <c r="F57" s="177" t="s">
        <v>253</v>
      </c>
      <c r="G57" s="147">
        <v>45809</v>
      </c>
      <c r="H57" s="143">
        <v>45869</v>
      </c>
      <c r="I57" s="143" t="s">
        <v>251</v>
      </c>
      <c r="J57" s="143"/>
      <c r="K57" s="144">
        <v>100000</v>
      </c>
      <c r="L57" s="178" t="s">
        <v>60</v>
      </c>
      <c r="M57" s="197" t="s">
        <v>254</v>
      </c>
      <c r="N57" s="147">
        <v>45878</v>
      </c>
      <c r="O57" s="147" t="s">
        <v>53</v>
      </c>
      <c r="P57" s="147" t="s">
        <v>259</v>
      </c>
      <c r="Q57" s="147">
        <v>45887</v>
      </c>
      <c r="R57" s="147">
        <v>45869</v>
      </c>
      <c r="S57" s="147" t="s">
        <v>114</v>
      </c>
      <c r="T57" s="147" t="s">
        <v>115</v>
      </c>
      <c r="U57" s="147" t="s">
        <v>116</v>
      </c>
      <c r="V57" s="147" t="s">
        <v>117</v>
      </c>
      <c r="W57" s="147" t="s">
        <v>114</v>
      </c>
      <c r="X57" s="164"/>
    </row>
    <row r="58" spans="1:24" ht="45" customHeight="1">
      <c r="A58" s="145">
        <v>2025</v>
      </c>
      <c r="B58" s="145">
        <v>61</v>
      </c>
      <c r="C58" s="145" t="s">
        <v>255</v>
      </c>
      <c r="D58" s="145" t="s">
        <v>122</v>
      </c>
      <c r="E58" s="177" t="s">
        <v>120</v>
      </c>
      <c r="F58" s="177" t="s">
        <v>121</v>
      </c>
      <c r="G58" s="147">
        <v>45875</v>
      </c>
      <c r="H58" s="143">
        <v>45875</v>
      </c>
      <c r="I58" s="143" t="s">
        <v>60</v>
      </c>
      <c r="J58" s="143">
        <v>45868</v>
      </c>
      <c r="K58" s="144">
        <v>50000</v>
      </c>
      <c r="L58" s="178" t="s">
        <v>60</v>
      </c>
      <c r="M58" s="179"/>
      <c r="N58" s="147">
        <v>45896</v>
      </c>
      <c r="O58" s="147" t="s">
        <v>265</v>
      </c>
      <c r="P58" s="147"/>
      <c r="Q58" s="147">
        <v>45891</v>
      </c>
      <c r="R58" s="147">
        <v>45875</v>
      </c>
      <c r="S58" s="147" t="s">
        <v>440</v>
      </c>
      <c r="T58" s="147" t="s">
        <v>441</v>
      </c>
      <c r="U58" s="147" t="s">
        <v>442</v>
      </c>
      <c r="V58" s="147" t="s">
        <v>443</v>
      </c>
      <c r="W58" s="147" t="s">
        <v>444</v>
      </c>
      <c r="X58" s="164"/>
    </row>
    <row r="59" spans="1:24" ht="45" customHeight="1">
      <c r="A59" s="145">
        <v>2025</v>
      </c>
      <c r="B59" s="145">
        <v>62</v>
      </c>
      <c r="C59" s="145" t="s">
        <v>255</v>
      </c>
      <c r="D59" s="145" t="s">
        <v>123</v>
      </c>
      <c r="E59" s="177" t="s">
        <v>124</v>
      </c>
      <c r="F59" s="177" t="s">
        <v>445</v>
      </c>
      <c r="G59" s="147">
        <v>45891</v>
      </c>
      <c r="H59" s="143">
        <v>45891</v>
      </c>
      <c r="I59" s="143" t="s">
        <v>60</v>
      </c>
      <c r="J59" s="143">
        <v>45868</v>
      </c>
      <c r="K59" s="144">
        <v>45000</v>
      </c>
      <c r="L59" s="178" t="s">
        <v>60</v>
      </c>
      <c r="M59" s="179"/>
      <c r="N59" s="147">
        <v>45896</v>
      </c>
      <c r="O59" s="147" t="s">
        <v>265</v>
      </c>
      <c r="P59" s="147" t="s">
        <v>259</v>
      </c>
      <c r="Q59" s="147">
        <v>45896</v>
      </c>
      <c r="R59" s="147">
        <v>45891</v>
      </c>
      <c r="S59" s="147" t="s">
        <v>440</v>
      </c>
      <c r="T59" s="147" t="s">
        <v>441</v>
      </c>
      <c r="U59" s="147" t="s">
        <v>446</v>
      </c>
      <c r="V59" s="147" t="s">
        <v>443</v>
      </c>
      <c r="W59" s="147" t="s">
        <v>444</v>
      </c>
      <c r="X59" s="164"/>
    </row>
    <row r="60" spans="1:24" ht="45" customHeight="1">
      <c r="A60" s="145">
        <v>2025</v>
      </c>
      <c r="B60" s="145">
        <v>63</v>
      </c>
      <c r="C60" s="145" t="s">
        <v>244</v>
      </c>
      <c r="D60" s="145" t="s">
        <v>125</v>
      </c>
      <c r="E60" s="177" t="s">
        <v>126</v>
      </c>
      <c r="F60" s="177" t="s">
        <v>127</v>
      </c>
      <c r="G60" s="147">
        <v>45889</v>
      </c>
      <c r="H60" s="143">
        <v>45889</v>
      </c>
      <c r="I60" s="143" t="s">
        <v>60</v>
      </c>
      <c r="J60" s="143">
        <v>45876</v>
      </c>
      <c r="K60" s="144">
        <v>50000</v>
      </c>
      <c r="L60" s="178" t="s">
        <v>60</v>
      </c>
      <c r="M60" s="179"/>
      <c r="N60" s="147">
        <v>45891</v>
      </c>
      <c r="O60" s="147" t="s">
        <v>53</v>
      </c>
      <c r="P60" s="147" t="s">
        <v>88</v>
      </c>
      <c r="Q60" s="147">
        <v>45891</v>
      </c>
      <c r="R60" s="147">
        <v>45889</v>
      </c>
      <c r="S60" s="147" t="s">
        <v>127</v>
      </c>
      <c r="T60" s="147" t="s">
        <v>130</v>
      </c>
      <c r="U60" s="147" t="s">
        <v>128</v>
      </c>
      <c r="V60" s="147" t="s">
        <v>128</v>
      </c>
      <c r="W60" s="147" t="s">
        <v>129</v>
      </c>
      <c r="X60" s="164"/>
    </row>
    <row r="61" spans="1:24" ht="45" customHeight="1">
      <c r="A61" s="167">
        <v>2025</v>
      </c>
      <c r="B61" s="167">
        <v>64</v>
      </c>
      <c r="C61" s="167" t="s">
        <v>236</v>
      </c>
      <c r="D61" s="167" t="s">
        <v>131</v>
      </c>
      <c r="E61" s="169" t="s">
        <v>256</v>
      </c>
      <c r="F61" s="169" t="s">
        <v>157</v>
      </c>
      <c r="G61" s="170">
        <v>45848</v>
      </c>
      <c r="H61" s="171">
        <v>46052</v>
      </c>
      <c r="I61" s="171" t="s">
        <v>251</v>
      </c>
      <c r="J61" s="171">
        <v>45926</v>
      </c>
      <c r="K61" s="198">
        <v>12930000</v>
      </c>
      <c r="L61" s="167" t="s">
        <v>251</v>
      </c>
      <c r="M61" s="173" t="s">
        <v>257</v>
      </c>
      <c r="N61" s="152">
        <v>46048</v>
      </c>
      <c r="O61" s="152" t="s">
        <v>53</v>
      </c>
      <c r="P61" s="152" t="s">
        <v>88</v>
      </c>
      <c r="Q61" s="152">
        <v>46048</v>
      </c>
      <c r="R61" s="152">
        <v>46053</v>
      </c>
      <c r="S61" s="152" t="s">
        <v>447</v>
      </c>
      <c r="T61" s="152" t="s">
        <v>448</v>
      </c>
      <c r="U61" s="152" t="s">
        <v>449</v>
      </c>
      <c r="V61" s="152" t="s">
        <v>450</v>
      </c>
      <c r="W61" s="152" t="s">
        <v>451</v>
      </c>
      <c r="X61" s="196"/>
    </row>
    <row r="62" spans="1:24" ht="45" customHeight="1">
      <c r="A62" s="145">
        <v>2025</v>
      </c>
      <c r="B62" s="145">
        <v>65</v>
      </c>
      <c r="C62" s="145" t="s">
        <v>227</v>
      </c>
      <c r="D62" s="145" t="s">
        <v>452</v>
      </c>
      <c r="E62" s="177" t="s">
        <v>453</v>
      </c>
      <c r="F62" s="177" t="s">
        <v>454</v>
      </c>
      <c r="G62" s="147">
        <v>45874</v>
      </c>
      <c r="H62" s="143">
        <v>45892</v>
      </c>
      <c r="I62" s="143" t="s">
        <v>76</v>
      </c>
      <c r="J62" s="143"/>
      <c r="K62" s="144">
        <v>90000</v>
      </c>
      <c r="L62" s="178" t="s">
        <v>60</v>
      </c>
      <c r="M62" s="179"/>
      <c r="N62" s="147">
        <v>45895</v>
      </c>
      <c r="O62" s="147" t="s">
        <v>53</v>
      </c>
      <c r="P62" s="147" t="s">
        <v>455</v>
      </c>
      <c r="Q62" s="147">
        <v>45895</v>
      </c>
      <c r="R62" s="147">
        <v>45892</v>
      </c>
      <c r="S62" s="147" t="s">
        <v>456</v>
      </c>
      <c r="T62" s="147" t="s">
        <v>457</v>
      </c>
      <c r="U62" s="147" t="s">
        <v>458</v>
      </c>
      <c r="V62" s="147" t="s">
        <v>459</v>
      </c>
      <c r="W62" s="147" t="s">
        <v>460</v>
      </c>
      <c r="X62" s="164" t="s">
        <v>455</v>
      </c>
    </row>
    <row r="63" spans="1:24" ht="45" customHeight="1">
      <c r="A63" s="145">
        <v>2025</v>
      </c>
      <c r="B63" s="145">
        <v>66</v>
      </c>
      <c r="C63" s="145" t="s">
        <v>227</v>
      </c>
      <c r="D63" s="145" t="s">
        <v>461</v>
      </c>
      <c r="E63" s="177" t="s">
        <v>462</v>
      </c>
      <c r="F63" s="177" t="s">
        <v>463</v>
      </c>
      <c r="G63" s="147">
        <v>45860</v>
      </c>
      <c r="H63" s="143">
        <v>45877</v>
      </c>
      <c r="I63" s="143" t="s">
        <v>76</v>
      </c>
      <c r="J63" s="143"/>
      <c r="K63" s="144">
        <v>120000</v>
      </c>
      <c r="L63" s="178" t="s">
        <v>60</v>
      </c>
      <c r="M63" s="179"/>
      <c r="N63" s="147">
        <v>45896</v>
      </c>
      <c r="O63" s="147" t="s">
        <v>265</v>
      </c>
      <c r="P63" s="147" t="s">
        <v>464</v>
      </c>
      <c r="Q63" s="147">
        <v>45895</v>
      </c>
      <c r="R63" s="147">
        <v>45877</v>
      </c>
      <c r="S63" s="147" t="s">
        <v>465</v>
      </c>
      <c r="T63" s="147" t="s">
        <v>466</v>
      </c>
      <c r="U63" s="147" t="s">
        <v>467</v>
      </c>
      <c r="V63" s="147" t="s">
        <v>468</v>
      </c>
      <c r="W63" s="147" t="s">
        <v>469</v>
      </c>
      <c r="X63" s="164" t="s">
        <v>470</v>
      </c>
    </row>
    <row r="64" spans="1:24" ht="45" customHeight="1">
      <c r="A64" s="182">
        <v>2025</v>
      </c>
      <c r="B64" s="182">
        <v>67</v>
      </c>
      <c r="C64" s="182" t="s">
        <v>200</v>
      </c>
      <c r="D64" s="182" t="s">
        <v>471</v>
      </c>
      <c r="E64" s="184" t="s">
        <v>472</v>
      </c>
      <c r="F64" s="184" t="s">
        <v>473</v>
      </c>
      <c r="G64" s="185">
        <v>45901</v>
      </c>
      <c r="H64" s="186">
        <v>45949</v>
      </c>
      <c r="I64" s="186" t="s">
        <v>251</v>
      </c>
      <c r="J64" s="186">
        <v>45897</v>
      </c>
      <c r="K64" s="187">
        <v>3800000</v>
      </c>
      <c r="L64" s="182" t="s">
        <v>418</v>
      </c>
      <c r="M64" s="188" t="s">
        <v>474</v>
      </c>
      <c r="N64" s="147" t="s">
        <v>419</v>
      </c>
      <c r="O64" s="147"/>
      <c r="P64" s="147"/>
      <c r="Q64" s="147"/>
      <c r="R64" s="147"/>
      <c r="S64" s="147"/>
      <c r="T64" s="147"/>
      <c r="U64" s="147"/>
      <c r="V64" s="147"/>
      <c r="W64" s="147"/>
      <c r="X64" s="164"/>
    </row>
    <row r="65" spans="1:24" s="46" customFormat="1" ht="45" customHeight="1">
      <c r="A65" s="84">
        <v>2025</v>
      </c>
      <c r="B65" s="84">
        <v>68</v>
      </c>
      <c r="C65" s="84" t="s">
        <v>255</v>
      </c>
      <c r="D65" s="84" t="s">
        <v>475</v>
      </c>
      <c r="E65" s="99" t="s">
        <v>476</v>
      </c>
      <c r="F65" s="99" t="s">
        <v>477</v>
      </c>
      <c r="G65" s="100">
        <v>45931</v>
      </c>
      <c r="H65" s="82">
        <v>46173</v>
      </c>
      <c r="I65" s="82" t="s">
        <v>251</v>
      </c>
      <c r="J65" s="82">
        <v>45910</v>
      </c>
      <c r="K65" s="83">
        <v>284900000</v>
      </c>
      <c r="L65" s="113" t="s">
        <v>251</v>
      </c>
      <c r="M65" s="111" t="s">
        <v>478</v>
      </c>
      <c r="N65" s="128"/>
      <c r="O65" s="128"/>
      <c r="P65" s="128"/>
      <c r="Q65" s="128"/>
      <c r="R65" s="128"/>
      <c r="S65" s="128"/>
      <c r="T65" s="128"/>
      <c r="U65" s="128"/>
      <c r="V65" s="128"/>
      <c r="W65" s="128"/>
      <c r="X65" s="129"/>
    </row>
    <row r="66" spans="1:24" s="46" customFormat="1" ht="45" customHeight="1">
      <c r="A66" s="84">
        <v>2025</v>
      </c>
      <c r="B66" s="84">
        <v>69</v>
      </c>
      <c r="C66" s="84" t="s">
        <v>479</v>
      </c>
      <c r="D66" s="84" t="s">
        <v>480</v>
      </c>
      <c r="E66" s="99" t="s">
        <v>481</v>
      </c>
      <c r="F66" s="99" t="s">
        <v>482</v>
      </c>
      <c r="G66" s="100">
        <v>45944</v>
      </c>
      <c r="H66" s="82">
        <v>46095</v>
      </c>
      <c r="I66" s="82" t="s">
        <v>251</v>
      </c>
      <c r="J66" s="82">
        <v>45947</v>
      </c>
      <c r="K66" s="83">
        <v>146000000</v>
      </c>
      <c r="L66" s="84" t="s">
        <v>251</v>
      </c>
      <c r="M66" s="111" t="s">
        <v>478</v>
      </c>
      <c r="N66" s="128"/>
      <c r="O66" s="128"/>
      <c r="P66" s="128"/>
      <c r="Q66" s="128"/>
      <c r="R66" s="128"/>
      <c r="S66" s="128"/>
      <c r="T66" s="128"/>
      <c r="U66" s="128"/>
      <c r="V66" s="128"/>
      <c r="W66" s="128"/>
      <c r="X66" s="129"/>
    </row>
    <row r="67" spans="1:24" ht="45" customHeight="1">
      <c r="A67" s="149">
        <v>2025</v>
      </c>
      <c r="B67" s="149">
        <v>70</v>
      </c>
      <c r="C67" s="149" t="s">
        <v>227</v>
      </c>
      <c r="D67" s="149" t="s">
        <v>483</v>
      </c>
      <c r="E67" s="151" t="s">
        <v>484</v>
      </c>
      <c r="F67" s="151" t="s">
        <v>485</v>
      </c>
      <c r="G67" s="152">
        <v>45890</v>
      </c>
      <c r="H67" s="153">
        <v>45890</v>
      </c>
      <c r="I67" s="153" t="s">
        <v>240</v>
      </c>
      <c r="J67" s="153"/>
      <c r="K67" s="154">
        <v>90000</v>
      </c>
      <c r="L67" s="149" t="s">
        <v>240</v>
      </c>
      <c r="M67" s="155"/>
      <c r="N67" s="152">
        <v>45908</v>
      </c>
      <c r="O67" s="152" t="s">
        <v>53</v>
      </c>
      <c r="P67" s="152" t="s">
        <v>455</v>
      </c>
      <c r="Q67" s="152">
        <v>45908</v>
      </c>
      <c r="R67" s="152">
        <v>45890</v>
      </c>
      <c r="S67" s="152" t="s">
        <v>486</v>
      </c>
      <c r="T67" s="152" t="s">
        <v>487</v>
      </c>
      <c r="U67" s="152" t="s">
        <v>488</v>
      </c>
      <c r="V67" s="152" t="s">
        <v>489</v>
      </c>
      <c r="W67" s="152" t="s">
        <v>490</v>
      </c>
      <c r="X67" s="196"/>
    </row>
    <row r="68" spans="1:24" ht="45" customHeight="1">
      <c r="A68" s="149">
        <v>2025</v>
      </c>
      <c r="B68" s="149">
        <v>71</v>
      </c>
      <c r="C68" s="149" t="s">
        <v>200</v>
      </c>
      <c r="D68" s="149" t="s">
        <v>491</v>
      </c>
      <c r="E68" s="151" t="s">
        <v>492</v>
      </c>
      <c r="F68" s="151" t="s">
        <v>493</v>
      </c>
      <c r="G68" s="152">
        <v>45876</v>
      </c>
      <c r="H68" s="153">
        <v>45877</v>
      </c>
      <c r="I68" s="153" t="s">
        <v>240</v>
      </c>
      <c r="J68" s="153">
        <v>45876</v>
      </c>
      <c r="K68" s="154">
        <v>50000</v>
      </c>
      <c r="L68" s="149" t="s">
        <v>240</v>
      </c>
      <c r="M68" s="155"/>
      <c r="N68" s="152">
        <v>45910</v>
      </c>
      <c r="O68" s="152" t="s">
        <v>265</v>
      </c>
      <c r="P68" s="152" t="s">
        <v>291</v>
      </c>
      <c r="Q68" s="152">
        <v>45910</v>
      </c>
      <c r="R68" s="152">
        <v>45877</v>
      </c>
      <c r="S68" s="152" t="s">
        <v>494</v>
      </c>
      <c r="T68" s="152" t="s">
        <v>293</v>
      </c>
      <c r="U68" s="152" t="s">
        <v>495</v>
      </c>
      <c r="V68" s="152" t="s">
        <v>295</v>
      </c>
      <c r="W68" s="152" t="s">
        <v>297</v>
      </c>
      <c r="X68" s="196" t="s">
        <v>496</v>
      </c>
    </row>
    <row r="69" spans="1:24" ht="45" customHeight="1">
      <c r="A69" s="136">
        <v>2025</v>
      </c>
      <c r="B69" s="136">
        <v>72</v>
      </c>
      <c r="C69" s="136" t="s">
        <v>234</v>
      </c>
      <c r="D69" s="136" t="s">
        <v>304</v>
      </c>
      <c r="E69" s="138" t="s">
        <v>497</v>
      </c>
      <c r="F69" s="138" t="s">
        <v>498</v>
      </c>
      <c r="G69" s="134" t="s">
        <v>60</v>
      </c>
      <c r="H69" s="134" t="s">
        <v>60</v>
      </c>
      <c r="I69" s="134" t="s">
        <v>60</v>
      </c>
      <c r="J69" s="134" t="s">
        <v>60</v>
      </c>
      <c r="K69" s="134" t="s">
        <v>60</v>
      </c>
      <c r="L69" s="136"/>
      <c r="M69" s="157"/>
      <c r="N69" s="128"/>
      <c r="O69" s="128"/>
      <c r="P69" s="128"/>
      <c r="Q69" s="128"/>
      <c r="R69" s="128"/>
      <c r="S69" s="128"/>
      <c r="T69" s="128"/>
      <c r="U69" s="128"/>
      <c r="V69" s="128"/>
      <c r="W69" s="128"/>
      <c r="X69" s="129"/>
    </row>
    <row r="70" spans="1:24" s="46" customFormat="1" ht="45" customHeight="1">
      <c r="A70" s="84">
        <v>2025</v>
      </c>
      <c r="B70" s="84">
        <v>73</v>
      </c>
      <c r="C70" s="84" t="s">
        <v>234</v>
      </c>
      <c r="D70" s="84" t="s">
        <v>499</v>
      </c>
      <c r="E70" s="99" t="s">
        <v>500</v>
      </c>
      <c r="F70" s="99" t="s">
        <v>501</v>
      </c>
      <c r="G70" s="100">
        <v>45962</v>
      </c>
      <c r="H70" s="82">
        <v>46067</v>
      </c>
      <c r="I70" s="82" t="s">
        <v>251</v>
      </c>
      <c r="J70" s="82">
        <v>45954</v>
      </c>
      <c r="K70" s="83">
        <v>28790000</v>
      </c>
      <c r="L70" s="84" t="s">
        <v>251</v>
      </c>
      <c r="M70" s="101"/>
      <c r="N70" s="128"/>
      <c r="O70" s="128"/>
      <c r="P70" s="128"/>
      <c r="Q70" s="128"/>
      <c r="R70" s="128"/>
      <c r="S70" s="128"/>
      <c r="T70" s="128"/>
      <c r="U70" s="128"/>
      <c r="V70" s="128"/>
      <c r="W70" s="128"/>
      <c r="X70" s="129" t="s">
        <v>502</v>
      </c>
    </row>
    <row r="71" spans="1:24" ht="45" customHeight="1">
      <c r="A71" s="149">
        <v>2025</v>
      </c>
      <c r="B71" s="149">
        <v>74</v>
      </c>
      <c r="C71" s="149" t="s">
        <v>503</v>
      </c>
      <c r="D71" s="149" t="s">
        <v>504</v>
      </c>
      <c r="E71" s="151" t="s">
        <v>505</v>
      </c>
      <c r="F71" s="151" t="s">
        <v>506</v>
      </c>
      <c r="G71" s="152">
        <v>45913</v>
      </c>
      <c r="H71" s="153">
        <v>45913</v>
      </c>
      <c r="I71" s="153" t="s">
        <v>251</v>
      </c>
      <c r="J71" s="153">
        <v>45912</v>
      </c>
      <c r="K71" s="154">
        <v>250000</v>
      </c>
      <c r="L71" s="149" t="s">
        <v>240</v>
      </c>
      <c r="M71" s="155"/>
      <c r="N71" s="152">
        <v>45916</v>
      </c>
      <c r="O71" s="152" t="s">
        <v>258</v>
      </c>
      <c r="P71" s="152" t="s">
        <v>259</v>
      </c>
      <c r="Q71" s="152">
        <v>45916</v>
      </c>
      <c r="R71" s="152">
        <v>45913</v>
      </c>
      <c r="S71" s="152" t="s">
        <v>507</v>
      </c>
      <c r="T71" s="152" t="s">
        <v>508</v>
      </c>
      <c r="U71" s="152" t="s">
        <v>509</v>
      </c>
      <c r="V71" s="152" t="s">
        <v>510</v>
      </c>
      <c r="W71" s="152" t="s">
        <v>511</v>
      </c>
      <c r="X71" s="196"/>
    </row>
    <row r="72" spans="1:24" ht="45" customHeight="1">
      <c r="A72" s="149">
        <v>2025</v>
      </c>
      <c r="B72" s="149">
        <v>75</v>
      </c>
      <c r="C72" s="149" t="s">
        <v>227</v>
      </c>
      <c r="D72" s="149" t="s">
        <v>512</v>
      </c>
      <c r="E72" s="151" t="s">
        <v>513</v>
      </c>
      <c r="F72" s="151" t="s">
        <v>514</v>
      </c>
      <c r="G72" s="152">
        <v>45916</v>
      </c>
      <c r="H72" s="153">
        <v>45916</v>
      </c>
      <c r="I72" s="153" t="s">
        <v>60</v>
      </c>
      <c r="J72" s="153"/>
      <c r="K72" s="154">
        <v>410000</v>
      </c>
      <c r="L72" s="149" t="s">
        <v>60</v>
      </c>
      <c r="M72" s="155"/>
      <c r="N72" s="152">
        <v>45932</v>
      </c>
      <c r="O72" s="152" t="s">
        <v>61</v>
      </c>
      <c r="P72" s="152" t="s">
        <v>58</v>
      </c>
      <c r="Q72" s="152">
        <v>45916</v>
      </c>
      <c r="R72" s="152">
        <v>45916</v>
      </c>
      <c r="S72" s="152" t="s">
        <v>515</v>
      </c>
      <c r="T72" s="152" t="s">
        <v>487</v>
      </c>
      <c r="U72" s="152" t="s">
        <v>516</v>
      </c>
      <c r="V72" s="152" t="s">
        <v>459</v>
      </c>
      <c r="W72" s="152" t="s">
        <v>517</v>
      </c>
      <c r="X72" s="196" t="s">
        <v>518</v>
      </c>
    </row>
    <row r="73" spans="1:24" ht="45" customHeight="1">
      <c r="A73" s="149">
        <v>2025</v>
      </c>
      <c r="B73" s="149">
        <v>76</v>
      </c>
      <c r="C73" s="149" t="s">
        <v>255</v>
      </c>
      <c r="D73" s="149" t="s">
        <v>519</v>
      </c>
      <c r="E73" s="151" t="s">
        <v>520</v>
      </c>
      <c r="F73" s="151" t="s">
        <v>305</v>
      </c>
      <c r="G73" s="152">
        <v>45920</v>
      </c>
      <c r="H73" s="153">
        <v>45920</v>
      </c>
      <c r="I73" s="153" t="s">
        <v>60</v>
      </c>
      <c r="J73" s="153">
        <v>45912</v>
      </c>
      <c r="K73" s="154">
        <v>55000</v>
      </c>
      <c r="L73" s="149" t="s">
        <v>60</v>
      </c>
      <c r="M73" s="155"/>
      <c r="N73" s="152">
        <v>45926</v>
      </c>
      <c r="O73" s="152" t="s">
        <v>53</v>
      </c>
      <c r="P73" s="152"/>
      <c r="Q73" s="152">
        <v>45926</v>
      </c>
      <c r="R73" s="152">
        <v>45920</v>
      </c>
      <c r="S73" s="152" t="s">
        <v>440</v>
      </c>
      <c r="T73" s="152" t="s">
        <v>441</v>
      </c>
      <c r="U73" s="152" t="s">
        <v>442</v>
      </c>
      <c r="V73" s="152" t="s">
        <v>443</v>
      </c>
      <c r="W73" s="152" t="s">
        <v>521</v>
      </c>
      <c r="X73" s="196"/>
    </row>
    <row r="74" spans="1:24" ht="45" customHeight="1">
      <c r="A74" s="149">
        <v>2025</v>
      </c>
      <c r="B74" s="149">
        <v>77</v>
      </c>
      <c r="C74" s="149" t="s">
        <v>255</v>
      </c>
      <c r="D74" s="149" t="s">
        <v>522</v>
      </c>
      <c r="E74" s="151" t="s">
        <v>523</v>
      </c>
      <c r="F74" s="151" t="s">
        <v>524</v>
      </c>
      <c r="G74" s="152">
        <v>45929</v>
      </c>
      <c r="H74" s="153">
        <v>45929</v>
      </c>
      <c r="I74" s="153" t="s">
        <v>76</v>
      </c>
      <c r="J74" s="153">
        <v>45922</v>
      </c>
      <c r="K74" s="154">
        <v>39000</v>
      </c>
      <c r="L74" s="149" t="s">
        <v>60</v>
      </c>
      <c r="M74" s="155"/>
      <c r="N74" s="152">
        <v>45929</v>
      </c>
      <c r="O74" s="152" t="s">
        <v>525</v>
      </c>
      <c r="P74" s="152"/>
      <c r="Q74" s="152">
        <v>45929</v>
      </c>
      <c r="R74" s="152">
        <v>45929</v>
      </c>
      <c r="S74" s="152" t="s">
        <v>526</v>
      </c>
      <c r="T74" s="152" t="s">
        <v>527</v>
      </c>
      <c r="U74" s="152" t="s">
        <v>528</v>
      </c>
      <c r="V74" s="152" t="s">
        <v>529</v>
      </c>
      <c r="W74" s="152" t="s">
        <v>530</v>
      </c>
      <c r="X74" s="196"/>
    </row>
    <row r="75" spans="1:24" ht="45" customHeight="1">
      <c r="A75" s="167">
        <v>2025</v>
      </c>
      <c r="B75" s="167">
        <v>78</v>
      </c>
      <c r="C75" s="167" t="s">
        <v>531</v>
      </c>
      <c r="D75" s="167" t="s">
        <v>532</v>
      </c>
      <c r="E75" s="169" t="s">
        <v>533</v>
      </c>
      <c r="F75" s="169" t="s">
        <v>534</v>
      </c>
      <c r="G75" s="170">
        <v>45870</v>
      </c>
      <c r="H75" s="171">
        <v>46112</v>
      </c>
      <c r="I75" s="171" t="s">
        <v>251</v>
      </c>
      <c r="J75" s="199"/>
      <c r="K75" s="200">
        <v>14700000</v>
      </c>
      <c r="L75" s="167" t="s">
        <v>240</v>
      </c>
      <c r="M75" s="173" t="s">
        <v>84</v>
      </c>
      <c r="N75" s="152">
        <v>46120</v>
      </c>
      <c r="O75" s="152" t="s">
        <v>258</v>
      </c>
      <c r="P75" s="152" t="s">
        <v>259</v>
      </c>
      <c r="Q75" s="152">
        <v>46120</v>
      </c>
      <c r="R75" s="152">
        <v>46112</v>
      </c>
      <c r="S75" s="152" t="s">
        <v>535</v>
      </c>
      <c r="T75" s="152" t="s">
        <v>536</v>
      </c>
      <c r="U75" s="152" t="s">
        <v>537</v>
      </c>
      <c r="V75" s="152" t="s">
        <v>538</v>
      </c>
      <c r="W75" s="152" t="s">
        <v>539</v>
      </c>
      <c r="X75" s="156" t="s">
        <v>540</v>
      </c>
    </row>
    <row r="76" spans="1:24" ht="45" customHeight="1">
      <c r="A76" s="167">
        <v>2025</v>
      </c>
      <c r="B76" s="167">
        <v>79</v>
      </c>
      <c r="C76" s="167" t="s">
        <v>227</v>
      </c>
      <c r="D76" s="167" t="s">
        <v>541</v>
      </c>
      <c r="E76" s="169" t="s">
        <v>542</v>
      </c>
      <c r="F76" s="169" t="s">
        <v>543</v>
      </c>
      <c r="G76" s="170">
        <v>45931</v>
      </c>
      <c r="H76" s="171">
        <v>45931</v>
      </c>
      <c r="I76" s="201" t="s">
        <v>76</v>
      </c>
      <c r="J76" s="171"/>
      <c r="K76" s="198">
        <v>35000</v>
      </c>
      <c r="L76" s="202" t="s">
        <v>60</v>
      </c>
      <c r="M76" s="203" t="s">
        <v>112</v>
      </c>
      <c r="N76" s="152">
        <v>45932</v>
      </c>
      <c r="O76" s="152" t="s">
        <v>53</v>
      </c>
      <c r="P76" s="152" t="s">
        <v>58</v>
      </c>
      <c r="Q76" s="152">
        <v>45931</v>
      </c>
      <c r="R76" s="152">
        <v>45931</v>
      </c>
      <c r="S76" s="152" t="s">
        <v>544</v>
      </c>
      <c r="T76" s="152" t="s">
        <v>287</v>
      </c>
      <c r="U76" s="152" t="s">
        <v>545</v>
      </c>
      <c r="V76" s="152" t="s">
        <v>546</v>
      </c>
      <c r="W76" s="152" t="s">
        <v>547</v>
      </c>
      <c r="X76" s="196"/>
    </row>
    <row r="77" spans="1:24" ht="45" customHeight="1">
      <c r="A77" s="167">
        <v>2025</v>
      </c>
      <c r="B77" s="167">
        <v>80</v>
      </c>
      <c r="C77" s="167" t="s">
        <v>227</v>
      </c>
      <c r="D77" s="167" t="s">
        <v>548</v>
      </c>
      <c r="E77" s="169" t="s">
        <v>549</v>
      </c>
      <c r="F77" s="169" t="s">
        <v>550</v>
      </c>
      <c r="G77" s="170">
        <v>45926</v>
      </c>
      <c r="H77" s="171">
        <v>45926</v>
      </c>
      <c r="I77" s="201" t="s">
        <v>76</v>
      </c>
      <c r="J77" s="171"/>
      <c r="K77" s="198">
        <v>83000</v>
      </c>
      <c r="L77" s="202" t="s">
        <v>60</v>
      </c>
      <c r="M77" s="173"/>
      <c r="N77" s="152">
        <v>45933</v>
      </c>
      <c r="O77" s="152" t="s">
        <v>551</v>
      </c>
      <c r="P77" s="152" t="s">
        <v>259</v>
      </c>
      <c r="Q77" s="152"/>
      <c r="R77" s="152">
        <v>45926</v>
      </c>
      <c r="S77" s="152" t="s">
        <v>552</v>
      </c>
      <c r="T77" s="152" t="s">
        <v>282</v>
      </c>
      <c r="U77" s="152" t="s">
        <v>553</v>
      </c>
      <c r="V77" s="152" t="s">
        <v>554</v>
      </c>
      <c r="W77" s="152" t="s">
        <v>555</v>
      </c>
      <c r="X77" s="196" t="s">
        <v>556</v>
      </c>
    </row>
    <row r="78" spans="1:24" ht="45" customHeight="1">
      <c r="A78" s="182">
        <v>2025</v>
      </c>
      <c r="B78" s="182">
        <v>82</v>
      </c>
      <c r="C78" s="182" t="s">
        <v>93</v>
      </c>
      <c r="D78" s="182" t="s">
        <v>557</v>
      </c>
      <c r="E78" s="184" t="s">
        <v>558</v>
      </c>
      <c r="F78" s="184" t="s">
        <v>559</v>
      </c>
      <c r="G78" s="185">
        <v>45938</v>
      </c>
      <c r="H78" s="186">
        <v>45985</v>
      </c>
      <c r="I78" s="204" t="s">
        <v>76</v>
      </c>
      <c r="J78" s="186">
        <v>45938</v>
      </c>
      <c r="K78" s="187">
        <v>1150000</v>
      </c>
      <c r="L78" s="205" t="s">
        <v>418</v>
      </c>
      <c r="M78" s="188"/>
      <c r="N78" s="147" t="s">
        <v>419</v>
      </c>
      <c r="O78" s="147"/>
      <c r="P78" s="147"/>
      <c r="Q78" s="147"/>
      <c r="R78" s="147"/>
      <c r="S78" s="147"/>
      <c r="T78" s="147"/>
      <c r="U78" s="147"/>
      <c r="V78" s="147"/>
      <c r="W78" s="147"/>
      <c r="X78" s="164"/>
    </row>
    <row r="79" spans="1:24" ht="45" customHeight="1">
      <c r="A79" s="167">
        <v>2025</v>
      </c>
      <c r="B79" s="167">
        <v>83</v>
      </c>
      <c r="C79" s="167" t="s">
        <v>503</v>
      </c>
      <c r="D79" s="167" t="s">
        <v>560</v>
      </c>
      <c r="E79" s="169" t="s">
        <v>561</v>
      </c>
      <c r="F79" s="169" t="s">
        <v>562</v>
      </c>
      <c r="G79" s="170">
        <v>45957</v>
      </c>
      <c r="H79" s="171">
        <v>45961</v>
      </c>
      <c r="I79" s="201" t="s">
        <v>76</v>
      </c>
      <c r="J79" s="171">
        <v>45930</v>
      </c>
      <c r="K79" s="198">
        <v>225000</v>
      </c>
      <c r="L79" s="202" t="s">
        <v>60</v>
      </c>
      <c r="M79" s="173"/>
      <c r="N79" s="152">
        <v>45968</v>
      </c>
      <c r="O79" s="152" t="s">
        <v>61</v>
      </c>
      <c r="P79" s="152"/>
      <c r="Q79" s="152">
        <v>45967</v>
      </c>
      <c r="R79" s="152">
        <v>45961</v>
      </c>
      <c r="S79" s="152" t="s">
        <v>563</v>
      </c>
      <c r="T79" s="152"/>
      <c r="U79" s="152"/>
      <c r="V79" s="152" t="s">
        <v>564</v>
      </c>
      <c r="W79" s="152"/>
      <c r="X79" s="196" t="s">
        <v>565</v>
      </c>
    </row>
    <row r="80" spans="1:24" ht="45" customHeight="1">
      <c r="A80" s="167">
        <v>2025</v>
      </c>
      <c r="B80" s="167">
        <v>84</v>
      </c>
      <c r="C80" s="167" t="s">
        <v>255</v>
      </c>
      <c r="D80" s="167" t="s">
        <v>566</v>
      </c>
      <c r="E80" s="169" t="s">
        <v>567</v>
      </c>
      <c r="F80" s="169" t="s">
        <v>568</v>
      </c>
      <c r="G80" s="170">
        <v>45939</v>
      </c>
      <c r="H80" s="171">
        <v>45939</v>
      </c>
      <c r="I80" s="171"/>
      <c r="J80" s="206"/>
      <c r="K80" s="207">
        <v>205000</v>
      </c>
      <c r="L80" s="167" t="s">
        <v>60</v>
      </c>
      <c r="M80" s="173"/>
      <c r="N80" s="152">
        <v>45945</v>
      </c>
      <c r="O80" s="152" t="s">
        <v>265</v>
      </c>
      <c r="P80" s="152" t="s">
        <v>259</v>
      </c>
      <c r="Q80" s="152">
        <v>45945</v>
      </c>
      <c r="R80" s="152">
        <v>45939</v>
      </c>
      <c r="S80" s="152" t="s">
        <v>568</v>
      </c>
      <c r="T80" s="152" t="s">
        <v>569</v>
      </c>
      <c r="U80" s="152" t="s">
        <v>570</v>
      </c>
      <c r="V80" s="152" t="s">
        <v>571</v>
      </c>
      <c r="W80" s="152" t="s">
        <v>572</v>
      </c>
      <c r="X80" s="156" t="s">
        <v>573</v>
      </c>
    </row>
    <row r="81" spans="1:24" ht="45" customHeight="1">
      <c r="A81" s="182">
        <v>2025</v>
      </c>
      <c r="B81" s="182">
        <v>85</v>
      </c>
      <c r="C81" s="182" t="s">
        <v>200</v>
      </c>
      <c r="D81" s="182" t="s">
        <v>574</v>
      </c>
      <c r="E81" s="184" t="s">
        <v>575</v>
      </c>
      <c r="F81" s="184" t="s">
        <v>473</v>
      </c>
      <c r="G81" s="185">
        <v>45952</v>
      </c>
      <c r="H81" s="186">
        <v>46016</v>
      </c>
      <c r="I81" s="186" t="s">
        <v>251</v>
      </c>
      <c r="J81" s="186">
        <v>45952</v>
      </c>
      <c r="K81" s="187">
        <v>1560000</v>
      </c>
      <c r="L81" s="182" t="s">
        <v>418</v>
      </c>
      <c r="M81" s="188"/>
      <c r="N81" s="147" t="s">
        <v>419</v>
      </c>
      <c r="O81" s="147"/>
      <c r="P81" s="147"/>
      <c r="Q81" s="147"/>
      <c r="R81" s="147"/>
      <c r="S81" s="147"/>
      <c r="T81" s="147"/>
      <c r="U81" s="147"/>
      <c r="V81" s="147"/>
      <c r="W81" s="147"/>
      <c r="X81" s="164"/>
    </row>
    <row r="82" spans="1:24" ht="45" customHeight="1">
      <c r="A82" s="84">
        <v>2025</v>
      </c>
      <c r="B82" s="84">
        <v>86</v>
      </c>
      <c r="C82" s="84" t="s">
        <v>436</v>
      </c>
      <c r="D82" s="84" t="s">
        <v>576</v>
      </c>
      <c r="E82" s="99" t="s">
        <v>577</v>
      </c>
      <c r="F82" s="99" t="s">
        <v>578</v>
      </c>
      <c r="G82" s="100">
        <v>45931</v>
      </c>
      <c r="H82" s="82">
        <v>45936</v>
      </c>
      <c r="I82" s="82" t="s">
        <v>60</v>
      </c>
      <c r="J82" s="82"/>
      <c r="K82" s="83">
        <v>500000</v>
      </c>
      <c r="L82" s="84" t="s">
        <v>60</v>
      </c>
      <c r="M82" s="101"/>
      <c r="N82" s="128"/>
      <c r="O82" s="128"/>
      <c r="P82" s="128"/>
      <c r="Q82" s="128"/>
      <c r="R82" s="128"/>
      <c r="S82" s="128"/>
      <c r="T82" s="128"/>
      <c r="U82" s="128"/>
      <c r="V82" s="128"/>
      <c r="W82" s="128"/>
      <c r="X82" s="129"/>
    </row>
    <row r="83" spans="1:24" ht="45" customHeight="1">
      <c r="A83" s="84">
        <v>2025</v>
      </c>
      <c r="B83" s="84">
        <v>87</v>
      </c>
      <c r="C83" s="84" t="s">
        <v>436</v>
      </c>
      <c r="D83" s="84" t="s">
        <v>579</v>
      </c>
      <c r="E83" s="99" t="s">
        <v>580</v>
      </c>
      <c r="F83" s="99" t="s">
        <v>578</v>
      </c>
      <c r="G83" s="100">
        <v>45944</v>
      </c>
      <c r="H83" s="82">
        <v>45975</v>
      </c>
      <c r="I83" s="82" t="s">
        <v>60</v>
      </c>
      <c r="J83" s="82"/>
      <c r="K83" s="83">
        <v>5900000</v>
      </c>
      <c r="L83" s="84" t="s">
        <v>60</v>
      </c>
      <c r="M83" s="111" t="s">
        <v>112</v>
      </c>
      <c r="N83" s="128"/>
      <c r="O83" s="128"/>
      <c r="P83" s="128"/>
      <c r="Q83" s="128"/>
      <c r="R83" s="128"/>
      <c r="S83" s="128"/>
      <c r="T83" s="128"/>
      <c r="U83" s="128"/>
      <c r="V83" s="128"/>
      <c r="W83" s="128"/>
      <c r="X83" s="129"/>
    </row>
    <row r="84" spans="1:24" ht="45" customHeight="1">
      <c r="A84" s="182">
        <v>2025</v>
      </c>
      <c r="B84" s="182">
        <v>88</v>
      </c>
      <c r="C84" s="182" t="s">
        <v>200</v>
      </c>
      <c r="D84" s="182" t="s">
        <v>581</v>
      </c>
      <c r="E84" s="184" t="s">
        <v>582</v>
      </c>
      <c r="F84" s="184" t="s">
        <v>473</v>
      </c>
      <c r="G84" s="185">
        <v>45957</v>
      </c>
      <c r="H84" s="186">
        <v>45957</v>
      </c>
      <c r="I84" s="186" t="s">
        <v>251</v>
      </c>
      <c r="J84" s="186">
        <v>45957</v>
      </c>
      <c r="K84" s="187">
        <v>200000</v>
      </c>
      <c r="L84" s="182" t="s">
        <v>418</v>
      </c>
      <c r="M84" s="188"/>
      <c r="N84" s="147" t="s">
        <v>419</v>
      </c>
      <c r="O84" s="147"/>
      <c r="P84" s="147"/>
      <c r="Q84" s="147"/>
      <c r="R84" s="147"/>
      <c r="S84" s="147"/>
      <c r="T84" s="147"/>
      <c r="U84" s="147"/>
      <c r="V84" s="147"/>
      <c r="W84" s="147"/>
      <c r="X84" s="164"/>
    </row>
    <row r="85" spans="1:24" ht="45" customHeight="1">
      <c r="A85" s="167">
        <v>2025</v>
      </c>
      <c r="B85" s="167">
        <v>89</v>
      </c>
      <c r="C85" s="167" t="s">
        <v>255</v>
      </c>
      <c r="D85" s="167" t="s">
        <v>583</v>
      </c>
      <c r="E85" s="169" t="s">
        <v>584</v>
      </c>
      <c r="F85" s="169" t="s">
        <v>585</v>
      </c>
      <c r="G85" s="170">
        <v>46027</v>
      </c>
      <c r="H85" s="171">
        <v>46059</v>
      </c>
      <c r="I85" s="171"/>
      <c r="J85" s="171"/>
      <c r="K85" s="198">
        <v>11028176</v>
      </c>
      <c r="L85" s="167" t="s">
        <v>251</v>
      </c>
      <c r="M85" s="173" t="s">
        <v>586</v>
      </c>
      <c r="N85" s="152">
        <v>46085</v>
      </c>
      <c r="O85" s="208" t="s">
        <v>587</v>
      </c>
      <c r="P85" s="152"/>
      <c r="Q85" s="152">
        <v>46085</v>
      </c>
      <c r="R85" s="152">
        <v>46059</v>
      </c>
      <c r="S85" s="152" t="s">
        <v>588</v>
      </c>
      <c r="T85" s="152" t="s">
        <v>261</v>
      </c>
      <c r="U85" s="152" t="s">
        <v>589</v>
      </c>
      <c r="V85" s="152" t="s">
        <v>590</v>
      </c>
      <c r="W85" s="152" t="s">
        <v>264</v>
      </c>
      <c r="X85" s="156" t="s">
        <v>591</v>
      </c>
    </row>
    <row r="86" spans="1:24" ht="45" customHeight="1">
      <c r="A86" s="84">
        <v>2025</v>
      </c>
      <c r="B86" s="84">
        <v>90</v>
      </c>
      <c r="C86" s="84" t="s">
        <v>55</v>
      </c>
      <c r="D86" s="84" t="s">
        <v>592</v>
      </c>
      <c r="E86" s="99" t="s">
        <v>593</v>
      </c>
      <c r="F86" s="99" t="s">
        <v>594</v>
      </c>
      <c r="G86" s="100">
        <v>45951</v>
      </c>
      <c r="H86" s="82">
        <v>46111</v>
      </c>
      <c r="I86" s="82" t="s">
        <v>76</v>
      </c>
      <c r="J86" s="82">
        <v>45951</v>
      </c>
      <c r="K86" s="83">
        <v>15000000</v>
      </c>
      <c r="L86" s="84" t="s">
        <v>76</v>
      </c>
      <c r="M86" s="101"/>
      <c r="N86" s="128"/>
      <c r="O86" s="128"/>
      <c r="P86" s="128"/>
      <c r="Q86" s="128"/>
      <c r="R86" s="128"/>
      <c r="S86" s="128"/>
      <c r="T86" s="128"/>
      <c r="U86" s="128"/>
      <c r="V86" s="128"/>
      <c r="W86" s="128"/>
      <c r="X86" s="129"/>
    </row>
    <row r="87" spans="1:24" ht="45" customHeight="1">
      <c r="A87" s="167">
        <v>2025</v>
      </c>
      <c r="B87" s="167">
        <v>91</v>
      </c>
      <c r="C87" s="167" t="s">
        <v>255</v>
      </c>
      <c r="D87" s="167" t="s">
        <v>595</v>
      </c>
      <c r="E87" s="169" t="s">
        <v>596</v>
      </c>
      <c r="F87" s="169" t="s">
        <v>524</v>
      </c>
      <c r="G87" s="170">
        <v>45957</v>
      </c>
      <c r="H87" s="171">
        <v>45957</v>
      </c>
      <c r="I87" s="171" t="s">
        <v>76</v>
      </c>
      <c r="J87" s="171"/>
      <c r="K87" s="198">
        <v>140000</v>
      </c>
      <c r="L87" s="167" t="s">
        <v>60</v>
      </c>
      <c r="M87" s="173"/>
      <c r="N87" s="152">
        <v>45961</v>
      </c>
      <c r="O87" s="152" t="s">
        <v>597</v>
      </c>
      <c r="P87" s="152" t="s">
        <v>58</v>
      </c>
      <c r="Q87" s="152">
        <v>45960</v>
      </c>
      <c r="R87" s="152">
        <v>45957</v>
      </c>
      <c r="S87" s="152" t="s">
        <v>526</v>
      </c>
      <c r="T87" s="152" t="s">
        <v>527</v>
      </c>
      <c r="U87" s="152" t="s">
        <v>528</v>
      </c>
      <c r="V87" s="152" t="s">
        <v>529</v>
      </c>
      <c r="W87" s="152" t="s">
        <v>530</v>
      </c>
      <c r="X87" s="156" t="s">
        <v>598</v>
      </c>
    </row>
    <row r="88" spans="1:24" ht="45" customHeight="1">
      <c r="A88" s="84">
        <v>2025</v>
      </c>
      <c r="B88" s="84">
        <v>92</v>
      </c>
      <c r="C88" s="84" t="s">
        <v>236</v>
      </c>
      <c r="D88" s="84" t="s">
        <v>599</v>
      </c>
      <c r="E88" s="99" t="s">
        <v>600</v>
      </c>
      <c r="F88" s="99" t="s">
        <v>601</v>
      </c>
      <c r="G88" s="100">
        <v>45901</v>
      </c>
      <c r="H88" s="82">
        <v>45971</v>
      </c>
      <c r="I88" s="82" t="s">
        <v>251</v>
      </c>
      <c r="J88" s="82"/>
      <c r="K88" s="83">
        <v>360000</v>
      </c>
      <c r="L88" s="84" t="s">
        <v>422</v>
      </c>
      <c r="M88" s="98" t="s">
        <v>602</v>
      </c>
      <c r="N88" s="209"/>
      <c r="O88" s="128"/>
      <c r="P88" s="128"/>
      <c r="Q88" s="128"/>
      <c r="R88" s="128"/>
      <c r="S88" s="128"/>
      <c r="T88" s="128"/>
      <c r="U88" s="128"/>
      <c r="V88" s="128"/>
      <c r="W88" s="128"/>
      <c r="X88" s="129"/>
    </row>
    <row r="89" spans="1:24" ht="45" customHeight="1">
      <c r="A89" s="167">
        <v>2025</v>
      </c>
      <c r="B89" s="167">
        <v>93</v>
      </c>
      <c r="C89" s="167" t="s">
        <v>503</v>
      </c>
      <c r="D89" s="167" t="s">
        <v>603</v>
      </c>
      <c r="E89" s="169" t="s">
        <v>604</v>
      </c>
      <c r="F89" s="169" t="s">
        <v>605</v>
      </c>
      <c r="G89" s="170">
        <v>45958</v>
      </c>
      <c r="H89" s="171">
        <v>45958</v>
      </c>
      <c r="I89" s="171" t="s">
        <v>251</v>
      </c>
      <c r="J89" s="171"/>
      <c r="K89" s="198">
        <v>40000</v>
      </c>
      <c r="L89" s="167" t="s">
        <v>240</v>
      </c>
      <c r="M89" s="173"/>
      <c r="N89" s="210">
        <v>45966</v>
      </c>
      <c r="O89" s="152" t="s">
        <v>265</v>
      </c>
      <c r="P89" s="152" t="s">
        <v>299</v>
      </c>
      <c r="Q89" s="152">
        <v>45966</v>
      </c>
      <c r="R89" s="152">
        <v>45958</v>
      </c>
      <c r="S89" s="152" t="s">
        <v>606</v>
      </c>
      <c r="T89" s="152" t="s">
        <v>607</v>
      </c>
      <c r="U89" s="152" t="s">
        <v>608</v>
      </c>
      <c r="V89" s="152" t="s">
        <v>609</v>
      </c>
      <c r="W89" s="152" t="s">
        <v>610</v>
      </c>
      <c r="X89" s="196"/>
    </row>
    <row r="90" spans="1:24" ht="45" customHeight="1">
      <c r="A90" s="167">
        <v>2025</v>
      </c>
      <c r="B90" s="167">
        <v>94</v>
      </c>
      <c r="C90" s="167" t="s">
        <v>236</v>
      </c>
      <c r="D90" s="167" t="s">
        <v>611</v>
      </c>
      <c r="E90" s="169" t="s">
        <v>612</v>
      </c>
      <c r="F90" s="169" t="s">
        <v>613</v>
      </c>
      <c r="G90" s="170"/>
      <c r="H90" s="171"/>
      <c r="I90" s="171" t="s">
        <v>76</v>
      </c>
      <c r="J90" s="171">
        <v>45961</v>
      </c>
      <c r="K90" s="198">
        <v>80000</v>
      </c>
      <c r="L90" s="167" t="s">
        <v>60</v>
      </c>
      <c r="M90" s="173" t="s">
        <v>614</v>
      </c>
      <c r="N90" s="210">
        <v>45967</v>
      </c>
      <c r="O90" s="152" t="s">
        <v>259</v>
      </c>
      <c r="P90" s="152" t="s">
        <v>615</v>
      </c>
      <c r="Q90" s="152"/>
      <c r="R90" s="152"/>
      <c r="S90" s="152" t="s">
        <v>616</v>
      </c>
      <c r="T90" s="152" t="s">
        <v>617</v>
      </c>
      <c r="U90" s="152" t="s">
        <v>618</v>
      </c>
      <c r="V90" s="152" t="s">
        <v>619</v>
      </c>
      <c r="W90" s="152" t="s">
        <v>620</v>
      </c>
      <c r="X90" s="156" t="s">
        <v>621</v>
      </c>
    </row>
    <row r="91" spans="1:24" ht="45" customHeight="1">
      <c r="A91" s="84">
        <v>2025</v>
      </c>
      <c r="B91" s="84">
        <v>95</v>
      </c>
      <c r="C91" s="84" t="s">
        <v>234</v>
      </c>
      <c r="D91" s="84" t="s">
        <v>622</v>
      </c>
      <c r="E91" s="99" t="s">
        <v>623</v>
      </c>
      <c r="F91" s="99" t="s">
        <v>624</v>
      </c>
      <c r="G91" s="100">
        <v>45931</v>
      </c>
      <c r="H91" s="82">
        <v>45982</v>
      </c>
      <c r="I91" s="82" t="s">
        <v>251</v>
      </c>
      <c r="J91" s="82">
        <v>45926</v>
      </c>
      <c r="K91" s="83">
        <v>630000</v>
      </c>
      <c r="L91" s="84" t="s">
        <v>251</v>
      </c>
      <c r="M91" s="101"/>
      <c r="N91" s="209"/>
      <c r="O91" s="128"/>
      <c r="P91" s="128"/>
      <c r="Q91" s="128"/>
      <c r="R91" s="128"/>
      <c r="S91" s="128"/>
      <c r="T91" s="128"/>
      <c r="U91" s="128"/>
      <c r="V91" s="128"/>
      <c r="W91" s="128"/>
      <c r="X91" s="129"/>
    </row>
    <row r="92" spans="1:24" ht="45" customHeight="1">
      <c r="A92" s="167">
        <v>2025</v>
      </c>
      <c r="B92" s="167">
        <v>96</v>
      </c>
      <c r="C92" s="167" t="s">
        <v>227</v>
      </c>
      <c r="D92" s="167" t="s">
        <v>625</v>
      </c>
      <c r="E92" s="169" t="s">
        <v>626</v>
      </c>
      <c r="F92" s="169" t="s">
        <v>627</v>
      </c>
      <c r="G92" s="170">
        <v>45947</v>
      </c>
      <c r="H92" s="171">
        <v>45947</v>
      </c>
      <c r="I92" s="171" t="s">
        <v>60</v>
      </c>
      <c r="J92" s="171"/>
      <c r="K92" s="198">
        <v>160000</v>
      </c>
      <c r="L92" s="167" t="s">
        <v>60</v>
      </c>
      <c r="M92" s="173"/>
      <c r="N92" s="152">
        <v>45968</v>
      </c>
      <c r="O92" s="152" t="s">
        <v>53</v>
      </c>
      <c r="P92" s="152"/>
      <c r="Q92" s="152">
        <v>45968</v>
      </c>
      <c r="R92" s="152">
        <v>45968</v>
      </c>
      <c r="S92" s="152" t="s">
        <v>628</v>
      </c>
      <c r="T92" s="152"/>
      <c r="U92" s="152"/>
      <c r="V92" s="152"/>
      <c r="W92" s="152"/>
      <c r="X92" s="196"/>
    </row>
    <row r="93" spans="1:24" ht="45" customHeight="1">
      <c r="A93" s="167">
        <v>2025</v>
      </c>
      <c r="B93" s="167">
        <v>97</v>
      </c>
      <c r="C93" s="167" t="s">
        <v>227</v>
      </c>
      <c r="D93" s="167" t="s">
        <v>629</v>
      </c>
      <c r="E93" s="169" t="s">
        <v>630</v>
      </c>
      <c r="F93" s="169" t="s">
        <v>631</v>
      </c>
      <c r="G93" s="170">
        <v>45947</v>
      </c>
      <c r="H93" s="171">
        <v>45947</v>
      </c>
      <c r="I93" s="171" t="s">
        <v>60</v>
      </c>
      <c r="J93" s="171"/>
      <c r="K93" s="198">
        <v>50000</v>
      </c>
      <c r="L93" s="167" t="s">
        <v>60</v>
      </c>
      <c r="M93" s="173"/>
      <c r="N93" s="152">
        <v>45968</v>
      </c>
      <c r="O93" s="152" t="s">
        <v>53</v>
      </c>
      <c r="P93" s="152"/>
      <c r="Q93" s="152">
        <v>45968</v>
      </c>
      <c r="R93" s="152">
        <v>45968</v>
      </c>
      <c r="S93" s="152"/>
      <c r="T93" s="152"/>
      <c r="U93" s="152"/>
      <c r="V93" s="152"/>
      <c r="W93" s="152"/>
      <c r="X93" s="196"/>
    </row>
    <row r="94" spans="1:24" ht="45" customHeight="1">
      <c r="A94" s="167">
        <v>2025</v>
      </c>
      <c r="B94" s="167">
        <v>98</v>
      </c>
      <c r="C94" s="167" t="s">
        <v>503</v>
      </c>
      <c r="D94" s="167" t="s">
        <v>632</v>
      </c>
      <c r="E94" s="169" t="s">
        <v>633</v>
      </c>
      <c r="F94" s="169" t="s">
        <v>634</v>
      </c>
      <c r="G94" s="170">
        <v>45957</v>
      </c>
      <c r="H94" s="171">
        <v>45960</v>
      </c>
      <c r="I94" s="171" t="s">
        <v>251</v>
      </c>
      <c r="J94" s="171"/>
      <c r="K94" s="198">
        <v>225000</v>
      </c>
      <c r="L94" s="167" t="s">
        <v>240</v>
      </c>
      <c r="M94" s="203" t="s">
        <v>254</v>
      </c>
      <c r="N94" s="152">
        <v>45968</v>
      </c>
      <c r="O94" s="152"/>
      <c r="P94" s="152"/>
      <c r="Q94" s="152">
        <v>45968</v>
      </c>
      <c r="R94" s="152"/>
      <c r="S94" s="152" t="s">
        <v>635</v>
      </c>
      <c r="T94" s="152" t="s">
        <v>636</v>
      </c>
      <c r="U94" s="152" t="s">
        <v>637</v>
      </c>
      <c r="V94" s="152" t="s">
        <v>564</v>
      </c>
      <c r="W94" s="152" t="s">
        <v>638</v>
      </c>
      <c r="X94" s="196"/>
    </row>
    <row r="95" spans="1:24" ht="45" customHeight="1">
      <c r="A95" s="84">
        <v>2025</v>
      </c>
      <c r="B95" s="84">
        <v>99</v>
      </c>
      <c r="C95" s="84" t="s">
        <v>55</v>
      </c>
      <c r="D95" s="84" t="s">
        <v>639</v>
      </c>
      <c r="E95" s="99" t="s">
        <v>640</v>
      </c>
      <c r="F95" s="99" t="s">
        <v>641</v>
      </c>
      <c r="G95" s="100">
        <v>45992</v>
      </c>
      <c r="H95" s="82">
        <v>46039</v>
      </c>
      <c r="I95" s="82" t="s">
        <v>76</v>
      </c>
      <c r="J95" s="82">
        <v>45930</v>
      </c>
      <c r="K95" s="83">
        <v>630000</v>
      </c>
      <c r="L95" s="84" t="s">
        <v>76</v>
      </c>
      <c r="M95" s="101"/>
      <c r="N95" s="128"/>
      <c r="O95" s="128"/>
      <c r="P95" s="128"/>
      <c r="Q95" s="128"/>
      <c r="R95" s="128"/>
      <c r="S95" s="128"/>
      <c r="T95" s="128"/>
      <c r="U95" s="128"/>
      <c r="V95" s="128"/>
      <c r="W95" s="128"/>
      <c r="X95" s="129"/>
    </row>
    <row r="96" spans="1:24" ht="45" customHeight="1">
      <c r="A96" s="167">
        <v>2025</v>
      </c>
      <c r="B96" s="167">
        <v>100</v>
      </c>
      <c r="C96" s="167" t="s">
        <v>227</v>
      </c>
      <c r="D96" s="167" t="s">
        <v>642</v>
      </c>
      <c r="E96" s="169" t="s">
        <v>643</v>
      </c>
      <c r="F96" s="169" t="s">
        <v>543</v>
      </c>
      <c r="G96" s="170">
        <v>45940</v>
      </c>
      <c r="H96" s="171">
        <v>45969</v>
      </c>
      <c r="I96" s="171" t="s">
        <v>76</v>
      </c>
      <c r="J96" s="171"/>
      <c r="K96" s="198">
        <v>236000</v>
      </c>
      <c r="L96" s="167" t="s">
        <v>60</v>
      </c>
      <c r="M96" s="173"/>
      <c r="N96" s="152">
        <v>45971</v>
      </c>
      <c r="O96" s="152" t="s">
        <v>53</v>
      </c>
      <c r="P96" s="152"/>
      <c r="Q96" s="152"/>
      <c r="R96" s="152">
        <v>45969</v>
      </c>
      <c r="S96" s="152" t="s">
        <v>543</v>
      </c>
      <c r="T96" s="152" t="s">
        <v>487</v>
      </c>
      <c r="U96" s="152" t="s">
        <v>488</v>
      </c>
      <c r="V96" s="152" t="s">
        <v>644</v>
      </c>
      <c r="W96" s="152" t="s">
        <v>645</v>
      </c>
      <c r="X96" s="196"/>
    </row>
    <row r="97" spans="1:24" ht="45" customHeight="1">
      <c r="A97" s="84">
        <v>2025</v>
      </c>
      <c r="B97" s="84">
        <v>101</v>
      </c>
      <c r="C97" s="84" t="s">
        <v>200</v>
      </c>
      <c r="D97" s="84" t="s">
        <v>646</v>
      </c>
      <c r="E97" s="99" t="s">
        <v>647</v>
      </c>
      <c r="F97" s="99" t="s">
        <v>648</v>
      </c>
      <c r="G97" s="100">
        <v>45954</v>
      </c>
      <c r="H97" s="82">
        <v>45968</v>
      </c>
      <c r="I97" s="82"/>
      <c r="J97" s="82">
        <v>45954</v>
      </c>
      <c r="K97" s="83">
        <v>21000</v>
      </c>
      <c r="L97" s="84" t="s">
        <v>240</v>
      </c>
      <c r="M97" s="101"/>
      <c r="N97" s="128"/>
      <c r="O97" s="128"/>
      <c r="P97" s="128"/>
      <c r="Q97" s="128"/>
      <c r="R97" s="128"/>
      <c r="S97" s="128"/>
      <c r="T97" s="128"/>
      <c r="U97" s="128"/>
      <c r="V97" s="128"/>
      <c r="W97" s="128"/>
      <c r="X97" s="129"/>
    </row>
    <row r="98" spans="1:24" ht="45" customHeight="1">
      <c r="A98" s="167">
        <v>2025</v>
      </c>
      <c r="B98" s="167">
        <v>102</v>
      </c>
      <c r="C98" s="167" t="s">
        <v>200</v>
      </c>
      <c r="D98" s="167" t="s">
        <v>649</v>
      </c>
      <c r="E98" s="169" t="s">
        <v>650</v>
      </c>
      <c r="F98" s="169" t="s">
        <v>651</v>
      </c>
      <c r="G98" s="170">
        <v>45960</v>
      </c>
      <c r="H98" s="171">
        <v>45971</v>
      </c>
      <c r="I98" s="171" t="s">
        <v>60</v>
      </c>
      <c r="J98" s="171">
        <v>45958</v>
      </c>
      <c r="K98" s="198">
        <v>420000</v>
      </c>
      <c r="L98" s="167" t="s">
        <v>60</v>
      </c>
      <c r="M98" s="173"/>
      <c r="N98" s="152">
        <v>45989</v>
      </c>
      <c r="O98" s="152"/>
      <c r="P98" s="152"/>
      <c r="Q98" s="152">
        <v>45989</v>
      </c>
      <c r="R98" s="152">
        <v>45973</v>
      </c>
      <c r="S98" s="152" t="s">
        <v>114</v>
      </c>
      <c r="T98" s="152" t="s">
        <v>115</v>
      </c>
      <c r="U98" s="152" t="s">
        <v>116</v>
      </c>
      <c r="V98" s="152" t="s">
        <v>117</v>
      </c>
      <c r="W98" s="152" t="s">
        <v>114</v>
      </c>
      <c r="X98" s="196"/>
    </row>
    <row r="99" spans="1:24" ht="45" customHeight="1">
      <c r="A99" s="167">
        <v>2025</v>
      </c>
      <c r="B99" s="167">
        <v>103</v>
      </c>
      <c r="C99" s="167" t="s">
        <v>227</v>
      </c>
      <c r="D99" s="167" t="s">
        <v>652</v>
      </c>
      <c r="E99" s="169" t="s">
        <v>653</v>
      </c>
      <c r="F99" s="169" t="s">
        <v>514</v>
      </c>
      <c r="G99" s="170">
        <v>45951</v>
      </c>
      <c r="H99" s="171">
        <v>45951</v>
      </c>
      <c r="I99" s="171" t="s">
        <v>76</v>
      </c>
      <c r="J99" s="171"/>
      <c r="K99" s="198">
        <v>70000</v>
      </c>
      <c r="L99" s="167" t="s">
        <v>60</v>
      </c>
      <c r="M99" s="173"/>
      <c r="N99" s="152">
        <v>45978</v>
      </c>
      <c r="O99" s="152" t="s">
        <v>61</v>
      </c>
      <c r="P99" s="152"/>
      <c r="Q99" s="152">
        <v>45978</v>
      </c>
      <c r="R99" s="152">
        <v>45951</v>
      </c>
      <c r="S99" s="152" t="s">
        <v>515</v>
      </c>
      <c r="T99" s="152" t="s">
        <v>487</v>
      </c>
      <c r="U99" s="152" t="s">
        <v>516</v>
      </c>
      <c r="V99" s="152" t="s">
        <v>459</v>
      </c>
      <c r="W99" s="152" t="s">
        <v>517</v>
      </c>
      <c r="X99" s="196"/>
    </row>
    <row r="100" spans="1:24" ht="45" customHeight="1">
      <c r="A100" s="167">
        <v>2025</v>
      </c>
      <c r="B100" s="167">
        <v>104</v>
      </c>
      <c r="C100" s="167" t="s">
        <v>227</v>
      </c>
      <c r="D100" s="167" t="s">
        <v>654</v>
      </c>
      <c r="E100" s="169" t="s">
        <v>655</v>
      </c>
      <c r="F100" s="169" t="s">
        <v>543</v>
      </c>
      <c r="G100" s="170">
        <v>45972</v>
      </c>
      <c r="H100" s="171">
        <v>45975</v>
      </c>
      <c r="I100" s="171" t="s">
        <v>76</v>
      </c>
      <c r="J100" s="171"/>
      <c r="K100" s="198">
        <v>750000</v>
      </c>
      <c r="L100" s="167" t="s">
        <v>60</v>
      </c>
      <c r="M100" s="173"/>
      <c r="N100" s="152">
        <v>45978</v>
      </c>
      <c r="O100" s="152" t="s">
        <v>53</v>
      </c>
      <c r="P100" s="152" t="s">
        <v>656</v>
      </c>
      <c r="Q100" s="152">
        <v>45978</v>
      </c>
      <c r="R100" s="152">
        <v>45975</v>
      </c>
      <c r="S100" s="152" t="s">
        <v>543</v>
      </c>
      <c r="T100" s="152" t="s">
        <v>487</v>
      </c>
      <c r="U100" s="152" t="s">
        <v>488</v>
      </c>
      <c r="V100" s="152" t="s">
        <v>644</v>
      </c>
      <c r="W100" s="152" t="s">
        <v>645</v>
      </c>
      <c r="X100" s="196" t="s">
        <v>657</v>
      </c>
    </row>
    <row r="101" spans="1:24" ht="45" customHeight="1">
      <c r="A101" s="167">
        <v>2025</v>
      </c>
      <c r="B101" s="167">
        <v>105</v>
      </c>
      <c r="C101" s="167" t="s">
        <v>244</v>
      </c>
      <c r="D101" s="167" t="s">
        <v>658</v>
      </c>
      <c r="E101" s="169" t="s">
        <v>659</v>
      </c>
      <c r="F101" s="169" t="s">
        <v>660</v>
      </c>
      <c r="G101" s="170">
        <v>45973</v>
      </c>
      <c r="H101" s="171">
        <v>45983</v>
      </c>
      <c r="I101" s="171" t="s">
        <v>60</v>
      </c>
      <c r="J101" s="171"/>
      <c r="K101" s="211">
        <v>157000</v>
      </c>
      <c r="L101" s="167" t="s">
        <v>60</v>
      </c>
      <c r="M101" s="173"/>
      <c r="N101" s="152">
        <v>45986</v>
      </c>
      <c r="O101" s="152" t="s">
        <v>265</v>
      </c>
      <c r="P101" s="152" t="s">
        <v>661</v>
      </c>
      <c r="Q101" s="152">
        <v>45986</v>
      </c>
      <c r="R101" s="152">
        <v>45983</v>
      </c>
      <c r="S101" s="152" t="s">
        <v>662</v>
      </c>
      <c r="T101" s="152" t="s">
        <v>663</v>
      </c>
      <c r="U101" s="212" t="s">
        <v>664</v>
      </c>
      <c r="V101" s="152"/>
      <c r="W101" s="152" t="s">
        <v>665</v>
      </c>
      <c r="X101" s="196" t="s">
        <v>666</v>
      </c>
    </row>
    <row r="102" spans="1:24" ht="45" customHeight="1">
      <c r="A102" s="167">
        <v>2025</v>
      </c>
      <c r="B102" s="167">
        <v>106</v>
      </c>
      <c r="C102" s="167" t="s">
        <v>244</v>
      </c>
      <c r="D102" s="167" t="s">
        <v>667</v>
      </c>
      <c r="E102" s="169" t="s">
        <v>668</v>
      </c>
      <c r="F102" s="169" t="s">
        <v>669</v>
      </c>
      <c r="G102" s="170">
        <v>45979</v>
      </c>
      <c r="H102" s="171">
        <v>45979</v>
      </c>
      <c r="I102" s="171" t="s">
        <v>60</v>
      </c>
      <c r="J102" s="171">
        <v>45968</v>
      </c>
      <c r="K102" s="198">
        <v>100000</v>
      </c>
      <c r="L102" s="167" t="s">
        <v>60</v>
      </c>
      <c r="M102" s="173"/>
      <c r="N102" s="152">
        <v>45982</v>
      </c>
      <c r="O102" s="152" t="s">
        <v>53</v>
      </c>
      <c r="P102" s="152"/>
      <c r="Q102" s="152">
        <v>45982</v>
      </c>
      <c r="R102" s="152">
        <v>45979</v>
      </c>
      <c r="S102" s="152" t="s">
        <v>669</v>
      </c>
      <c r="T102" s="152" t="s">
        <v>670</v>
      </c>
      <c r="U102" s="152" t="s">
        <v>671</v>
      </c>
      <c r="V102" s="152"/>
      <c r="W102" s="152" t="s">
        <v>672</v>
      </c>
      <c r="X102" s="196"/>
    </row>
    <row r="103" spans="1:24" ht="45" customHeight="1">
      <c r="A103" s="167">
        <v>2025</v>
      </c>
      <c r="B103" s="167">
        <v>107</v>
      </c>
      <c r="C103" s="167" t="s">
        <v>255</v>
      </c>
      <c r="D103" s="167" t="s">
        <v>673</v>
      </c>
      <c r="E103" s="169" t="s">
        <v>674</v>
      </c>
      <c r="F103" s="169" t="s">
        <v>675</v>
      </c>
      <c r="G103" s="170">
        <v>45996</v>
      </c>
      <c r="H103" s="171">
        <v>45996</v>
      </c>
      <c r="I103" s="171" t="s">
        <v>76</v>
      </c>
      <c r="J103" s="171">
        <v>45978</v>
      </c>
      <c r="K103" s="198">
        <v>880000</v>
      </c>
      <c r="L103" s="167" t="s">
        <v>60</v>
      </c>
      <c r="M103" s="173"/>
      <c r="N103" s="152">
        <v>46016</v>
      </c>
      <c r="O103" s="152" t="s">
        <v>53</v>
      </c>
      <c r="P103" s="152"/>
      <c r="Q103" s="152">
        <v>46016</v>
      </c>
      <c r="R103" s="152">
        <v>45996</v>
      </c>
      <c r="S103" s="152" t="s">
        <v>676</v>
      </c>
      <c r="T103" s="152" t="s">
        <v>677</v>
      </c>
      <c r="U103" s="152" t="s">
        <v>678</v>
      </c>
      <c r="V103" s="152" t="s">
        <v>679</v>
      </c>
      <c r="W103" s="152" t="s">
        <v>680</v>
      </c>
      <c r="X103" s="196"/>
    </row>
    <row r="104" spans="1:24" ht="45" customHeight="1">
      <c r="A104" s="167">
        <v>2025</v>
      </c>
      <c r="B104" s="167">
        <v>108</v>
      </c>
      <c r="C104" s="167" t="s">
        <v>227</v>
      </c>
      <c r="D104" s="167" t="s">
        <v>681</v>
      </c>
      <c r="E104" s="169" t="s">
        <v>682</v>
      </c>
      <c r="F104" s="169" t="s">
        <v>543</v>
      </c>
      <c r="G104" s="170">
        <v>45984</v>
      </c>
      <c r="H104" s="171">
        <v>45984</v>
      </c>
      <c r="I104" s="171" t="s">
        <v>76</v>
      </c>
      <c r="J104" s="171"/>
      <c r="K104" s="198">
        <v>65000</v>
      </c>
      <c r="L104" s="167" t="s">
        <v>60</v>
      </c>
      <c r="M104" s="173"/>
      <c r="N104" s="152">
        <v>45981</v>
      </c>
      <c r="O104" s="152" t="s">
        <v>53</v>
      </c>
      <c r="P104" s="152" t="s">
        <v>58</v>
      </c>
      <c r="Q104" s="152"/>
      <c r="R104" s="152">
        <v>45984</v>
      </c>
      <c r="S104" s="152" t="s">
        <v>543</v>
      </c>
      <c r="T104" s="152" t="s">
        <v>487</v>
      </c>
      <c r="U104" s="152" t="s">
        <v>488</v>
      </c>
      <c r="V104" s="152" t="s">
        <v>644</v>
      </c>
      <c r="W104" s="152" t="s">
        <v>645</v>
      </c>
      <c r="X104" s="196"/>
    </row>
    <row r="105" spans="1:24" ht="45" customHeight="1">
      <c r="A105" s="167">
        <v>2025</v>
      </c>
      <c r="B105" s="167">
        <v>109</v>
      </c>
      <c r="C105" s="167" t="s">
        <v>255</v>
      </c>
      <c r="D105" s="167" t="s">
        <v>683</v>
      </c>
      <c r="E105" s="169" t="s">
        <v>684</v>
      </c>
      <c r="F105" s="169" t="s">
        <v>685</v>
      </c>
      <c r="G105" s="170">
        <v>46035</v>
      </c>
      <c r="H105" s="171">
        <v>46091</v>
      </c>
      <c r="I105" s="171" t="s">
        <v>76</v>
      </c>
      <c r="J105" s="171"/>
      <c r="K105" s="198">
        <v>21500000</v>
      </c>
      <c r="L105" s="167" t="s">
        <v>251</v>
      </c>
      <c r="M105" s="173"/>
      <c r="N105" s="152">
        <v>46114</v>
      </c>
      <c r="O105" s="208" t="s">
        <v>587</v>
      </c>
      <c r="P105" s="152"/>
      <c r="Q105" s="152">
        <v>46085</v>
      </c>
      <c r="R105" s="152">
        <v>46085</v>
      </c>
      <c r="S105" s="152" t="s">
        <v>260</v>
      </c>
      <c r="T105" s="152" t="s">
        <v>261</v>
      </c>
      <c r="U105" s="152" t="s">
        <v>262</v>
      </c>
      <c r="V105" s="152" t="s">
        <v>263</v>
      </c>
      <c r="W105" s="152" t="s">
        <v>686</v>
      </c>
      <c r="X105" s="156" t="s">
        <v>687</v>
      </c>
    </row>
    <row r="106" spans="1:24" ht="45" customHeight="1">
      <c r="A106" s="167">
        <v>2025</v>
      </c>
      <c r="B106" s="167">
        <v>110</v>
      </c>
      <c r="C106" s="167" t="s">
        <v>227</v>
      </c>
      <c r="D106" s="167" t="s">
        <v>688</v>
      </c>
      <c r="E106" s="169" t="s">
        <v>689</v>
      </c>
      <c r="F106" s="169" t="s">
        <v>514</v>
      </c>
      <c r="G106" s="170">
        <v>45982</v>
      </c>
      <c r="H106" s="171">
        <v>45982</v>
      </c>
      <c r="I106" s="171" t="s">
        <v>76</v>
      </c>
      <c r="J106" s="171"/>
      <c r="K106" s="198">
        <v>34000</v>
      </c>
      <c r="L106" s="167" t="s">
        <v>60</v>
      </c>
      <c r="M106" s="173"/>
      <c r="N106" s="152">
        <v>45988</v>
      </c>
      <c r="O106" s="152" t="s">
        <v>61</v>
      </c>
      <c r="P106" s="152"/>
      <c r="Q106" s="152"/>
      <c r="R106" s="152"/>
      <c r="S106" s="152" t="s">
        <v>514</v>
      </c>
      <c r="T106" s="152"/>
      <c r="U106" s="152"/>
      <c r="V106" s="152"/>
      <c r="W106" s="152" t="s">
        <v>690</v>
      </c>
      <c r="X106" s="196" t="s">
        <v>691</v>
      </c>
    </row>
    <row r="107" spans="1:24" ht="45" customHeight="1">
      <c r="A107" s="84">
        <v>2025</v>
      </c>
      <c r="B107" s="84">
        <v>111</v>
      </c>
      <c r="C107" s="84" t="s">
        <v>255</v>
      </c>
      <c r="D107" s="84" t="s">
        <v>692</v>
      </c>
      <c r="E107" s="99" t="s">
        <v>693</v>
      </c>
      <c r="F107" s="99" t="s">
        <v>694</v>
      </c>
      <c r="G107" s="100">
        <v>46091</v>
      </c>
      <c r="H107" s="82">
        <v>46173</v>
      </c>
      <c r="I107" s="82" t="s">
        <v>251</v>
      </c>
      <c r="J107" s="82">
        <v>46063</v>
      </c>
      <c r="K107" s="83">
        <v>34000000</v>
      </c>
      <c r="L107" s="84" t="s">
        <v>251</v>
      </c>
      <c r="M107" s="101"/>
      <c r="N107" s="128"/>
      <c r="O107" s="128"/>
      <c r="P107" s="128"/>
      <c r="Q107" s="128"/>
      <c r="R107" s="128"/>
      <c r="S107" s="128"/>
      <c r="T107" s="128"/>
      <c r="U107" s="128"/>
      <c r="V107" s="128"/>
      <c r="W107" s="128"/>
      <c r="X107" s="129"/>
    </row>
    <row r="108" spans="1:24" ht="45" customHeight="1">
      <c r="A108" s="84">
        <v>2025</v>
      </c>
      <c r="B108" s="84">
        <v>112</v>
      </c>
      <c r="C108" s="84" t="s">
        <v>436</v>
      </c>
      <c r="D108" s="84" t="s">
        <v>695</v>
      </c>
      <c r="E108" s="99" t="s">
        <v>696</v>
      </c>
      <c r="F108" s="99" t="s">
        <v>697</v>
      </c>
      <c r="G108" s="100">
        <v>45993</v>
      </c>
      <c r="H108" s="82">
        <v>46013</v>
      </c>
      <c r="I108" s="82" t="s">
        <v>60</v>
      </c>
      <c r="J108" s="82"/>
      <c r="K108" s="83">
        <v>2787000</v>
      </c>
      <c r="L108" s="84" t="s">
        <v>60</v>
      </c>
      <c r="M108" s="101"/>
      <c r="N108" s="128"/>
      <c r="O108" s="128"/>
      <c r="P108" s="128"/>
      <c r="Q108" s="128"/>
      <c r="R108" s="128"/>
      <c r="S108" s="128"/>
      <c r="T108" s="128"/>
      <c r="U108" s="128"/>
      <c r="V108" s="128"/>
      <c r="W108" s="128"/>
      <c r="X108" s="129"/>
    </row>
    <row r="109" spans="1:24" ht="45" customHeight="1">
      <c r="A109" s="84">
        <v>2025</v>
      </c>
      <c r="B109" s="84">
        <v>113</v>
      </c>
      <c r="C109" s="84" t="s">
        <v>436</v>
      </c>
      <c r="D109" s="84" t="s">
        <v>698</v>
      </c>
      <c r="E109" s="99" t="s">
        <v>699</v>
      </c>
      <c r="F109" s="99" t="s">
        <v>700</v>
      </c>
      <c r="G109" s="100">
        <v>45996</v>
      </c>
      <c r="H109" s="82">
        <v>45997</v>
      </c>
      <c r="I109" s="82" t="s">
        <v>76</v>
      </c>
      <c r="J109" s="82"/>
      <c r="K109" s="83">
        <v>360000</v>
      </c>
      <c r="L109" s="84" t="s">
        <v>60</v>
      </c>
      <c r="M109" s="101"/>
      <c r="N109" s="128"/>
      <c r="O109" s="128"/>
      <c r="P109" s="128"/>
      <c r="Q109" s="128"/>
      <c r="R109" s="128"/>
      <c r="S109" s="128"/>
      <c r="T109" s="128"/>
      <c r="U109" s="128"/>
      <c r="V109" s="128"/>
      <c r="W109" s="128"/>
      <c r="X109" s="129"/>
    </row>
    <row r="110" spans="1:24" ht="45" customHeight="1">
      <c r="A110" s="84">
        <v>2025</v>
      </c>
      <c r="B110" s="84">
        <v>114</v>
      </c>
      <c r="C110" s="84" t="s">
        <v>436</v>
      </c>
      <c r="D110" s="84" t="s">
        <v>701</v>
      </c>
      <c r="E110" s="99" t="s">
        <v>702</v>
      </c>
      <c r="F110" s="99" t="s">
        <v>697</v>
      </c>
      <c r="G110" s="100"/>
      <c r="H110" s="82"/>
      <c r="I110" s="82" t="s">
        <v>60</v>
      </c>
      <c r="J110" s="82"/>
      <c r="K110" s="83">
        <v>350000</v>
      </c>
      <c r="L110" s="84" t="s">
        <v>60</v>
      </c>
      <c r="M110" s="101"/>
      <c r="N110" s="128"/>
      <c r="O110" s="128"/>
      <c r="P110" s="128"/>
      <c r="Q110" s="128"/>
      <c r="R110" s="128"/>
      <c r="S110" s="128"/>
      <c r="T110" s="128"/>
      <c r="U110" s="128"/>
      <c r="V110" s="128"/>
      <c r="W110" s="128"/>
      <c r="X110" s="129"/>
    </row>
    <row r="111" spans="1:24" ht="45" customHeight="1">
      <c r="A111" s="167">
        <v>2025</v>
      </c>
      <c r="B111" s="167">
        <v>115</v>
      </c>
      <c r="C111" s="167" t="s">
        <v>200</v>
      </c>
      <c r="D111" s="167" t="s">
        <v>703</v>
      </c>
      <c r="E111" s="169" t="s">
        <v>704</v>
      </c>
      <c r="F111" s="169" t="s">
        <v>114</v>
      </c>
      <c r="G111" s="170">
        <v>45992</v>
      </c>
      <c r="H111" s="171">
        <v>45993</v>
      </c>
      <c r="I111" s="171" t="s">
        <v>60</v>
      </c>
      <c r="J111" s="171">
        <v>45986</v>
      </c>
      <c r="K111" s="198">
        <v>238000</v>
      </c>
      <c r="L111" s="167" t="s">
        <v>60</v>
      </c>
      <c r="M111" s="173"/>
      <c r="N111" s="152">
        <v>46036</v>
      </c>
      <c r="O111" s="152"/>
      <c r="P111" s="152"/>
      <c r="Q111" s="152">
        <v>46036</v>
      </c>
      <c r="R111" s="152">
        <v>45993</v>
      </c>
      <c r="S111" s="152" t="s">
        <v>114</v>
      </c>
      <c r="T111" s="152" t="s">
        <v>115</v>
      </c>
      <c r="U111" s="152" t="s">
        <v>116</v>
      </c>
      <c r="V111" s="152" t="s">
        <v>117</v>
      </c>
      <c r="W111" s="152" t="s">
        <v>114</v>
      </c>
      <c r="X111" s="196"/>
    </row>
    <row r="112" spans="1:24" ht="45" customHeight="1">
      <c r="A112" s="167">
        <v>2025</v>
      </c>
      <c r="B112" s="167">
        <v>116</v>
      </c>
      <c r="C112" s="167" t="s">
        <v>227</v>
      </c>
      <c r="D112" s="167" t="s">
        <v>705</v>
      </c>
      <c r="E112" s="169" t="s">
        <v>706</v>
      </c>
      <c r="F112" s="169" t="s">
        <v>463</v>
      </c>
      <c r="G112" s="170">
        <v>45987</v>
      </c>
      <c r="H112" s="171">
        <v>45992</v>
      </c>
      <c r="I112" s="171" t="s">
        <v>76</v>
      </c>
      <c r="J112" s="171"/>
      <c r="K112" s="198">
        <v>35000</v>
      </c>
      <c r="L112" s="167" t="s">
        <v>60</v>
      </c>
      <c r="M112" s="173"/>
      <c r="N112" s="152">
        <v>45993</v>
      </c>
      <c r="O112" s="152" t="s">
        <v>53</v>
      </c>
      <c r="P112" s="152" t="s">
        <v>58</v>
      </c>
      <c r="Q112" s="152"/>
      <c r="R112" s="152">
        <v>45992</v>
      </c>
      <c r="S112" s="152" t="s">
        <v>707</v>
      </c>
      <c r="T112" s="152" t="s">
        <v>708</v>
      </c>
      <c r="U112" s="152" t="s">
        <v>709</v>
      </c>
      <c r="V112" s="152" t="s">
        <v>459</v>
      </c>
      <c r="W112" s="152" t="s">
        <v>710</v>
      </c>
      <c r="X112" s="196"/>
    </row>
    <row r="113" spans="1:24" s="50" customFormat="1" ht="45" customHeight="1">
      <c r="A113" s="182">
        <v>2025</v>
      </c>
      <c r="B113" s="182">
        <v>117</v>
      </c>
      <c r="C113" s="182" t="s">
        <v>93</v>
      </c>
      <c r="D113" s="182" t="s">
        <v>711</v>
      </c>
      <c r="E113" s="184" t="s">
        <v>712</v>
      </c>
      <c r="F113" s="184" t="s">
        <v>94</v>
      </c>
      <c r="G113" s="185">
        <v>46001</v>
      </c>
      <c r="H113" s="186">
        <v>46063</v>
      </c>
      <c r="I113" s="186" t="s">
        <v>76</v>
      </c>
      <c r="J113" s="186">
        <v>45999</v>
      </c>
      <c r="K113" s="187">
        <v>550000</v>
      </c>
      <c r="L113" s="182" t="s">
        <v>418</v>
      </c>
      <c r="M113" s="188"/>
      <c r="N113" s="147" t="s">
        <v>419</v>
      </c>
      <c r="O113" s="147"/>
      <c r="P113" s="147"/>
      <c r="Q113" s="147"/>
      <c r="R113" s="147"/>
      <c r="S113" s="147"/>
      <c r="T113" s="147"/>
      <c r="U113" s="147"/>
      <c r="V113" s="147"/>
      <c r="W113" s="147"/>
      <c r="X113" s="164"/>
    </row>
    <row r="114" spans="1:24" ht="45" customHeight="1">
      <c r="A114" s="84">
        <v>2025</v>
      </c>
      <c r="B114" s="84">
        <v>118</v>
      </c>
      <c r="C114" s="84" t="s">
        <v>713</v>
      </c>
      <c r="D114" s="84" t="s">
        <v>714</v>
      </c>
      <c r="E114" s="99" t="s">
        <v>715</v>
      </c>
      <c r="F114" s="99" t="s">
        <v>716</v>
      </c>
      <c r="G114" s="100">
        <v>46006</v>
      </c>
      <c r="H114" s="82">
        <v>46018</v>
      </c>
      <c r="I114" s="82" t="s">
        <v>76</v>
      </c>
      <c r="J114" s="82">
        <v>46001</v>
      </c>
      <c r="K114" s="83">
        <v>230000</v>
      </c>
      <c r="L114" s="84" t="s">
        <v>60</v>
      </c>
      <c r="M114" s="101"/>
      <c r="N114" s="128"/>
      <c r="O114" s="128"/>
      <c r="P114" s="128"/>
      <c r="Q114" s="128"/>
      <c r="R114" s="128"/>
      <c r="S114" s="128"/>
      <c r="T114" s="128"/>
      <c r="U114" s="128"/>
      <c r="V114" s="128"/>
      <c r="W114" s="128"/>
      <c r="X114" s="129"/>
    </row>
    <row r="115" spans="1:24" ht="45" customHeight="1">
      <c r="A115" s="182">
        <v>2025</v>
      </c>
      <c r="B115" s="182">
        <v>119</v>
      </c>
      <c r="C115" s="182" t="s">
        <v>93</v>
      </c>
      <c r="D115" s="182" t="s">
        <v>717</v>
      </c>
      <c r="E115" s="213" t="s">
        <v>718</v>
      </c>
      <c r="F115" s="184" t="s">
        <v>94</v>
      </c>
      <c r="G115" s="185">
        <v>46016</v>
      </c>
      <c r="H115" s="186">
        <v>46016</v>
      </c>
      <c r="I115" s="186" t="s">
        <v>76</v>
      </c>
      <c r="J115" s="186">
        <v>46001</v>
      </c>
      <c r="K115" s="187">
        <v>650000</v>
      </c>
      <c r="L115" s="182" t="s">
        <v>416</v>
      </c>
      <c r="M115" s="188"/>
      <c r="N115" s="147" t="s">
        <v>419</v>
      </c>
      <c r="O115" s="147"/>
      <c r="P115" s="147"/>
      <c r="Q115" s="147"/>
      <c r="R115" s="147"/>
      <c r="S115" s="147"/>
      <c r="T115" s="147"/>
      <c r="U115" s="147"/>
      <c r="V115" s="147"/>
      <c r="W115" s="147"/>
      <c r="X115" s="164"/>
    </row>
    <row r="116" spans="1:24" ht="45" customHeight="1">
      <c r="A116" s="167">
        <v>2025</v>
      </c>
      <c r="B116" s="167">
        <v>120</v>
      </c>
      <c r="C116" s="167" t="s">
        <v>227</v>
      </c>
      <c r="D116" s="167" t="s">
        <v>719</v>
      </c>
      <c r="E116" s="169" t="s">
        <v>720</v>
      </c>
      <c r="F116" s="169" t="s">
        <v>721</v>
      </c>
      <c r="G116" s="170">
        <v>45959</v>
      </c>
      <c r="H116" s="171">
        <v>45959</v>
      </c>
      <c r="I116" s="171" t="s">
        <v>251</v>
      </c>
      <c r="J116" s="171"/>
      <c r="K116" s="198">
        <v>68000</v>
      </c>
      <c r="L116" s="167" t="s">
        <v>240</v>
      </c>
      <c r="M116" s="173"/>
      <c r="N116" s="152">
        <v>46004</v>
      </c>
      <c r="O116" s="152" t="s">
        <v>53</v>
      </c>
      <c r="P116" s="152" t="s">
        <v>58</v>
      </c>
      <c r="Q116" s="152">
        <v>45959</v>
      </c>
      <c r="R116" s="152">
        <v>45959</v>
      </c>
      <c r="S116" s="152" t="s">
        <v>722</v>
      </c>
      <c r="T116" s="152" t="s">
        <v>487</v>
      </c>
      <c r="U116" s="152" t="s">
        <v>723</v>
      </c>
      <c r="V116" s="152" t="s">
        <v>459</v>
      </c>
      <c r="W116" s="152" t="s">
        <v>724</v>
      </c>
      <c r="X116" s="196" t="s">
        <v>455</v>
      </c>
    </row>
    <row r="117" spans="1:24" ht="45" customHeight="1">
      <c r="A117" s="167">
        <v>2025</v>
      </c>
      <c r="B117" s="167">
        <v>121</v>
      </c>
      <c r="C117" s="167" t="s">
        <v>227</v>
      </c>
      <c r="D117" s="167" t="s">
        <v>725</v>
      </c>
      <c r="E117" s="169" t="s">
        <v>726</v>
      </c>
      <c r="F117" s="169" t="s">
        <v>727</v>
      </c>
      <c r="G117" s="170">
        <v>46008</v>
      </c>
      <c r="H117" s="171">
        <v>46052</v>
      </c>
      <c r="I117" s="171" t="s">
        <v>251</v>
      </c>
      <c r="J117" s="171"/>
      <c r="K117" s="198">
        <v>240000</v>
      </c>
      <c r="L117" s="167" t="s">
        <v>240</v>
      </c>
      <c r="M117" s="173"/>
      <c r="N117" s="152">
        <v>46030</v>
      </c>
      <c r="O117" s="152" t="s">
        <v>53</v>
      </c>
      <c r="P117" s="152" t="s">
        <v>728</v>
      </c>
      <c r="Q117" s="152">
        <v>46030</v>
      </c>
      <c r="R117" s="152">
        <v>46028</v>
      </c>
      <c r="S117" s="152" t="s">
        <v>729</v>
      </c>
      <c r="T117" s="152" t="s">
        <v>730</v>
      </c>
      <c r="U117" s="212" t="s">
        <v>731</v>
      </c>
      <c r="V117" s="152" t="s">
        <v>732</v>
      </c>
      <c r="W117" s="152" t="s">
        <v>733</v>
      </c>
      <c r="X117" s="196" t="s">
        <v>734</v>
      </c>
    </row>
    <row r="118" spans="1:24" ht="45" customHeight="1">
      <c r="A118" s="182">
        <v>2025</v>
      </c>
      <c r="B118" s="182">
        <v>122</v>
      </c>
      <c r="C118" s="182" t="s">
        <v>93</v>
      </c>
      <c r="D118" s="182" t="s">
        <v>735</v>
      </c>
      <c r="E118" s="184" t="s">
        <v>736</v>
      </c>
      <c r="F118" s="184" t="s">
        <v>737</v>
      </c>
      <c r="G118" s="185">
        <v>46037</v>
      </c>
      <c r="H118" s="186">
        <v>46037</v>
      </c>
      <c r="I118" s="171" t="s">
        <v>60</v>
      </c>
      <c r="J118" s="186"/>
      <c r="K118" s="187">
        <v>140000</v>
      </c>
      <c r="L118" s="182" t="s">
        <v>60</v>
      </c>
      <c r="M118" s="188"/>
      <c r="N118" s="147">
        <v>46043</v>
      </c>
      <c r="O118" s="147"/>
      <c r="P118" s="147"/>
      <c r="Q118" s="147">
        <v>46043</v>
      </c>
      <c r="R118" s="147">
        <v>46043</v>
      </c>
      <c r="S118" s="147" t="s">
        <v>738</v>
      </c>
      <c r="T118" s="147" t="s">
        <v>739</v>
      </c>
      <c r="U118" s="147" t="s">
        <v>740</v>
      </c>
      <c r="V118" s="147" t="s">
        <v>741</v>
      </c>
      <c r="W118" s="147"/>
      <c r="X118" s="164" t="s">
        <v>742</v>
      </c>
    </row>
    <row r="119" spans="1:24" ht="45" customHeight="1">
      <c r="A119" s="167">
        <v>2025</v>
      </c>
      <c r="B119" s="167">
        <v>123</v>
      </c>
      <c r="C119" s="167" t="s">
        <v>227</v>
      </c>
      <c r="D119" s="167" t="s">
        <v>743</v>
      </c>
      <c r="E119" s="169" t="s">
        <v>744</v>
      </c>
      <c r="F119" s="169" t="s">
        <v>745</v>
      </c>
      <c r="G119" s="170">
        <v>45981</v>
      </c>
      <c r="H119" s="171">
        <v>45981</v>
      </c>
      <c r="I119" s="171" t="s">
        <v>76</v>
      </c>
      <c r="J119" s="171"/>
      <c r="K119" s="198">
        <v>85400</v>
      </c>
      <c r="L119" s="167" t="s">
        <v>60</v>
      </c>
      <c r="M119" s="173"/>
      <c r="N119" s="152">
        <v>46017</v>
      </c>
      <c r="O119" s="152"/>
      <c r="P119" s="152"/>
      <c r="Q119" s="152"/>
      <c r="R119" s="152"/>
      <c r="S119" s="152" t="s">
        <v>722</v>
      </c>
      <c r="T119" s="152" t="s">
        <v>487</v>
      </c>
      <c r="U119" s="152" t="s">
        <v>723</v>
      </c>
      <c r="V119" s="152" t="s">
        <v>459</v>
      </c>
      <c r="W119" s="152" t="s">
        <v>724</v>
      </c>
      <c r="X119" s="196"/>
    </row>
    <row r="120" spans="1:24" ht="45" customHeight="1">
      <c r="A120" s="167">
        <v>2025</v>
      </c>
      <c r="B120" s="167">
        <v>124</v>
      </c>
      <c r="C120" s="167" t="s">
        <v>227</v>
      </c>
      <c r="D120" s="167" t="s">
        <v>746</v>
      </c>
      <c r="E120" s="169" t="s">
        <v>747</v>
      </c>
      <c r="F120" s="169" t="s">
        <v>748</v>
      </c>
      <c r="G120" s="170">
        <v>46029</v>
      </c>
      <c r="H120" s="171">
        <v>46029</v>
      </c>
      <c r="I120" s="171" t="s">
        <v>76</v>
      </c>
      <c r="J120" s="171">
        <v>46028</v>
      </c>
      <c r="K120" s="198">
        <v>35000</v>
      </c>
      <c r="L120" s="167" t="s">
        <v>60</v>
      </c>
      <c r="M120" s="173"/>
      <c r="N120" s="152">
        <v>46034</v>
      </c>
      <c r="O120" s="152" t="s">
        <v>53</v>
      </c>
      <c r="P120" s="152" t="s">
        <v>58</v>
      </c>
      <c r="Q120" s="152">
        <v>46034</v>
      </c>
      <c r="R120" s="152">
        <v>46029</v>
      </c>
      <c r="S120" s="152" t="s">
        <v>707</v>
      </c>
      <c r="T120" s="152" t="s">
        <v>708</v>
      </c>
      <c r="U120" s="152" t="s">
        <v>749</v>
      </c>
      <c r="V120" s="152" t="s">
        <v>459</v>
      </c>
      <c r="W120" s="152" t="s">
        <v>750</v>
      </c>
      <c r="X120" s="196" t="s">
        <v>455</v>
      </c>
    </row>
    <row r="121" spans="1:24" ht="45" customHeight="1">
      <c r="A121" s="167">
        <v>2025</v>
      </c>
      <c r="B121" s="167">
        <v>125</v>
      </c>
      <c r="C121" s="167" t="s">
        <v>227</v>
      </c>
      <c r="D121" s="167" t="s">
        <v>751</v>
      </c>
      <c r="E121" s="169" t="s">
        <v>752</v>
      </c>
      <c r="F121" s="169" t="s">
        <v>753</v>
      </c>
      <c r="G121" s="170">
        <v>46016</v>
      </c>
      <c r="H121" s="171">
        <v>46016</v>
      </c>
      <c r="I121" s="171" t="s">
        <v>76</v>
      </c>
      <c r="J121" s="171">
        <v>46036</v>
      </c>
      <c r="K121" s="198">
        <v>50000</v>
      </c>
      <c r="L121" s="167" t="s">
        <v>60</v>
      </c>
      <c r="M121" s="173"/>
      <c r="N121" s="152">
        <v>46034</v>
      </c>
      <c r="O121" s="152" t="s">
        <v>53</v>
      </c>
      <c r="P121" s="152" t="s">
        <v>58</v>
      </c>
      <c r="Q121" s="152">
        <v>46036</v>
      </c>
      <c r="R121" s="152">
        <v>46016</v>
      </c>
      <c r="S121" s="152" t="s">
        <v>722</v>
      </c>
      <c r="T121" s="152" t="s">
        <v>487</v>
      </c>
      <c r="U121" s="152" t="s">
        <v>723</v>
      </c>
      <c r="V121" s="152" t="s">
        <v>459</v>
      </c>
      <c r="W121" s="152" t="s">
        <v>724</v>
      </c>
      <c r="X121" s="156" t="s">
        <v>754</v>
      </c>
    </row>
    <row r="122" spans="1:24" ht="45" customHeight="1">
      <c r="A122" s="84">
        <v>2025</v>
      </c>
      <c r="B122" s="84">
        <v>126</v>
      </c>
      <c r="C122" s="84" t="s">
        <v>244</v>
      </c>
      <c r="D122" s="84" t="s">
        <v>755</v>
      </c>
      <c r="E122" s="99" t="s">
        <v>756</v>
      </c>
      <c r="F122" s="99" t="s">
        <v>757</v>
      </c>
      <c r="G122" s="100">
        <v>46045</v>
      </c>
      <c r="H122" s="82">
        <v>46446</v>
      </c>
      <c r="I122" s="82" t="s">
        <v>251</v>
      </c>
      <c r="J122" s="82">
        <v>46044</v>
      </c>
      <c r="K122" s="83">
        <v>472780000</v>
      </c>
      <c r="L122" s="84" t="s">
        <v>251</v>
      </c>
      <c r="M122" s="111" t="s">
        <v>112</v>
      </c>
      <c r="N122" s="100"/>
      <c r="O122" s="100"/>
      <c r="P122" s="100"/>
      <c r="Q122" s="100"/>
      <c r="R122" s="100"/>
      <c r="S122" s="100"/>
      <c r="T122" s="100"/>
      <c r="U122" s="100"/>
      <c r="V122" s="100"/>
      <c r="W122" s="100"/>
      <c r="X122" s="103"/>
    </row>
    <row r="123" spans="1:24" ht="45" customHeight="1">
      <c r="A123" s="84">
        <v>2025</v>
      </c>
      <c r="B123" s="84">
        <v>127</v>
      </c>
      <c r="C123" s="84" t="s">
        <v>758</v>
      </c>
      <c r="D123" s="84" t="s">
        <v>759</v>
      </c>
      <c r="E123" s="99" t="s">
        <v>760</v>
      </c>
      <c r="F123" s="99" t="s">
        <v>761</v>
      </c>
      <c r="G123" s="100">
        <v>46050</v>
      </c>
      <c r="H123" s="82">
        <v>46073</v>
      </c>
      <c r="I123" s="82" t="s">
        <v>76</v>
      </c>
      <c r="J123" s="82" t="s">
        <v>762</v>
      </c>
      <c r="K123" s="83">
        <v>7128000</v>
      </c>
      <c r="L123" s="84" t="s">
        <v>422</v>
      </c>
      <c r="M123" s="101"/>
      <c r="N123" s="100"/>
      <c r="O123" s="100"/>
      <c r="P123" s="100"/>
      <c r="Q123" s="100"/>
      <c r="R123" s="100"/>
      <c r="S123" s="100"/>
      <c r="T123" s="100"/>
      <c r="U123" s="100"/>
      <c r="V123" s="100"/>
      <c r="W123" s="100"/>
      <c r="X123" s="103"/>
    </row>
    <row r="124" spans="1:24" ht="45" customHeight="1">
      <c r="A124" s="114">
        <v>2025</v>
      </c>
      <c r="B124" s="114">
        <v>128</v>
      </c>
      <c r="C124" s="114"/>
      <c r="D124" s="114"/>
      <c r="E124" s="115" t="s">
        <v>763</v>
      </c>
      <c r="F124" s="115"/>
      <c r="G124" s="116"/>
      <c r="H124" s="117"/>
      <c r="I124" s="117"/>
      <c r="J124" s="117"/>
      <c r="K124" s="118"/>
      <c r="L124" s="114"/>
      <c r="M124" s="119"/>
      <c r="N124" s="116"/>
      <c r="O124" s="116"/>
      <c r="P124" s="116"/>
      <c r="Q124" s="116"/>
      <c r="R124" s="116"/>
      <c r="S124" s="116"/>
      <c r="T124" s="116"/>
      <c r="U124" s="116"/>
      <c r="V124" s="116"/>
      <c r="W124" s="116"/>
      <c r="X124" s="120"/>
    </row>
    <row r="125" spans="1:24" ht="45" customHeight="1">
      <c r="A125" s="167">
        <v>2025</v>
      </c>
      <c r="B125" s="167">
        <v>129</v>
      </c>
      <c r="C125" s="167" t="s">
        <v>227</v>
      </c>
      <c r="D125" s="167" t="s">
        <v>764</v>
      </c>
      <c r="E125" s="169" t="s">
        <v>765</v>
      </c>
      <c r="F125" s="169" t="s">
        <v>766</v>
      </c>
      <c r="G125" s="170">
        <v>46031</v>
      </c>
      <c r="H125" s="171">
        <v>46031</v>
      </c>
      <c r="I125" s="171" t="s">
        <v>76</v>
      </c>
      <c r="J125" s="171"/>
      <c r="K125" s="198">
        <v>60000</v>
      </c>
      <c r="L125" s="167" t="s">
        <v>60</v>
      </c>
      <c r="M125" s="173" t="s">
        <v>767</v>
      </c>
      <c r="N125" s="170">
        <v>46045</v>
      </c>
      <c r="O125" s="170" t="s">
        <v>265</v>
      </c>
      <c r="P125" s="170" t="s">
        <v>299</v>
      </c>
      <c r="Q125" s="170">
        <v>46045</v>
      </c>
      <c r="R125" s="170">
        <v>46031</v>
      </c>
      <c r="S125" s="170" t="s">
        <v>544</v>
      </c>
      <c r="T125" s="170" t="s">
        <v>287</v>
      </c>
      <c r="U125" s="170" t="s">
        <v>545</v>
      </c>
      <c r="V125" s="170" t="s">
        <v>768</v>
      </c>
      <c r="W125" s="170" t="s">
        <v>547</v>
      </c>
      <c r="X125" s="214"/>
    </row>
    <row r="126" spans="1:24" ht="45" customHeight="1">
      <c r="A126" s="167">
        <v>2025</v>
      </c>
      <c r="B126" s="167">
        <v>130</v>
      </c>
      <c r="C126" s="167" t="s">
        <v>200</v>
      </c>
      <c r="D126" s="167" t="s">
        <v>769</v>
      </c>
      <c r="E126" s="169" t="s">
        <v>770</v>
      </c>
      <c r="F126" s="169" t="s">
        <v>771</v>
      </c>
      <c r="G126" s="170">
        <v>46013</v>
      </c>
      <c r="H126" s="171">
        <v>46038</v>
      </c>
      <c r="I126" s="171" t="s">
        <v>240</v>
      </c>
      <c r="J126" s="171"/>
      <c r="K126" s="198">
        <v>123000</v>
      </c>
      <c r="L126" s="167" t="s">
        <v>60</v>
      </c>
      <c r="M126" s="173"/>
      <c r="N126" s="170">
        <v>46065</v>
      </c>
      <c r="O126" s="170"/>
      <c r="P126" s="170"/>
      <c r="Q126" s="170"/>
      <c r="R126" s="170"/>
      <c r="S126" s="170" t="s">
        <v>114</v>
      </c>
      <c r="T126" s="170" t="s">
        <v>115</v>
      </c>
      <c r="U126" s="170" t="s">
        <v>116</v>
      </c>
      <c r="V126" s="170" t="s">
        <v>117</v>
      </c>
      <c r="W126" s="170" t="s">
        <v>114</v>
      </c>
      <c r="X126" s="214"/>
    </row>
    <row r="127" spans="1:24" ht="45" customHeight="1">
      <c r="A127" s="104">
        <v>2023</v>
      </c>
      <c r="B127" s="104">
        <v>131</v>
      </c>
      <c r="C127" s="104" t="s">
        <v>255</v>
      </c>
      <c r="D127" s="104" t="s">
        <v>772</v>
      </c>
      <c r="E127" s="105" t="s">
        <v>773</v>
      </c>
      <c r="F127" s="105" t="s">
        <v>774</v>
      </c>
      <c r="G127" s="106">
        <v>46017</v>
      </c>
      <c r="H127" s="107">
        <v>46021</v>
      </c>
      <c r="I127" s="107" t="s">
        <v>240</v>
      </c>
      <c r="J127" s="107"/>
      <c r="K127" s="112">
        <v>364400</v>
      </c>
      <c r="L127" s="104" t="s">
        <v>60</v>
      </c>
      <c r="M127" s="108" t="s">
        <v>775</v>
      </c>
      <c r="N127" s="106">
        <v>46049</v>
      </c>
      <c r="O127" s="106" t="s">
        <v>776</v>
      </c>
      <c r="P127" s="106" t="s">
        <v>88</v>
      </c>
      <c r="Q127" s="106">
        <v>46049</v>
      </c>
      <c r="R127" s="106">
        <v>46021</v>
      </c>
      <c r="S127" s="106" t="s">
        <v>306</v>
      </c>
      <c r="T127" s="106" t="s">
        <v>307</v>
      </c>
      <c r="U127" s="106" t="s">
        <v>777</v>
      </c>
      <c r="V127" s="106" t="s">
        <v>778</v>
      </c>
      <c r="W127" s="106" t="s">
        <v>306</v>
      </c>
      <c r="X127" s="122" t="s">
        <v>779</v>
      </c>
    </row>
    <row r="128" spans="1:24" ht="45" customHeight="1">
      <c r="A128" s="167">
        <v>2025</v>
      </c>
      <c r="B128" s="167">
        <v>132</v>
      </c>
      <c r="C128" s="167" t="s">
        <v>227</v>
      </c>
      <c r="D128" s="167" t="s">
        <v>780</v>
      </c>
      <c r="E128" s="169" t="s">
        <v>781</v>
      </c>
      <c r="F128" s="169" t="s">
        <v>543</v>
      </c>
      <c r="G128" s="170">
        <v>46036</v>
      </c>
      <c r="H128" s="171">
        <v>46036</v>
      </c>
      <c r="I128" s="171" t="s">
        <v>76</v>
      </c>
      <c r="J128" s="171">
        <v>46036</v>
      </c>
      <c r="K128" s="198">
        <v>90000</v>
      </c>
      <c r="L128" s="167" t="s">
        <v>60</v>
      </c>
      <c r="M128" s="173"/>
      <c r="N128" s="170">
        <v>46049</v>
      </c>
      <c r="O128" s="170" t="s">
        <v>53</v>
      </c>
      <c r="P128" s="170" t="s">
        <v>58</v>
      </c>
      <c r="Q128" s="170">
        <v>46049</v>
      </c>
      <c r="R128" s="170">
        <v>46036</v>
      </c>
      <c r="S128" s="170" t="s">
        <v>543</v>
      </c>
      <c r="T128" s="170" t="s">
        <v>487</v>
      </c>
      <c r="U128" s="170" t="s">
        <v>488</v>
      </c>
      <c r="V128" s="170" t="s">
        <v>644</v>
      </c>
      <c r="W128" s="170" t="s">
        <v>490</v>
      </c>
      <c r="X128" s="214"/>
    </row>
    <row r="129" spans="1:24" ht="45" customHeight="1">
      <c r="A129" s="84">
        <v>2025</v>
      </c>
      <c r="B129" s="84">
        <v>133</v>
      </c>
      <c r="C129" s="84" t="s">
        <v>436</v>
      </c>
      <c r="D129" s="84" t="s">
        <v>782</v>
      </c>
      <c r="E129" s="99" t="s">
        <v>783</v>
      </c>
      <c r="F129" s="99" t="s">
        <v>697</v>
      </c>
      <c r="G129" s="100">
        <v>46069</v>
      </c>
      <c r="H129" s="82">
        <v>46092</v>
      </c>
      <c r="I129" s="82" t="s">
        <v>251</v>
      </c>
      <c r="J129" s="82"/>
      <c r="K129" s="83">
        <v>2000000</v>
      </c>
      <c r="L129" s="84" t="s">
        <v>60</v>
      </c>
      <c r="M129" s="101"/>
      <c r="N129" s="100"/>
      <c r="O129" s="100"/>
      <c r="P129" s="100"/>
      <c r="Q129" s="100"/>
      <c r="R129" s="100"/>
      <c r="S129" s="100"/>
      <c r="T129" s="100"/>
      <c r="U129" s="100"/>
      <c r="V129" s="100"/>
      <c r="W129" s="100"/>
      <c r="X129" s="103"/>
    </row>
    <row r="130" spans="1:24" ht="45" customHeight="1">
      <c r="A130" s="104">
        <v>2023</v>
      </c>
      <c r="B130" s="104">
        <v>134</v>
      </c>
      <c r="C130" s="104" t="s">
        <v>255</v>
      </c>
      <c r="D130" s="104" t="s">
        <v>784</v>
      </c>
      <c r="E130" s="105" t="s">
        <v>785</v>
      </c>
      <c r="F130" s="105" t="s">
        <v>786</v>
      </c>
      <c r="G130" s="106">
        <v>46016</v>
      </c>
      <c r="H130" s="107">
        <v>46016</v>
      </c>
      <c r="I130" s="107" t="s">
        <v>240</v>
      </c>
      <c r="J130" s="107"/>
      <c r="K130" s="112">
        <v>44000</v>
      </c>
      <c r="L130" s="104" t="s">
        <v>60</v>
      </c>
      <c r="M130" s="108"/>
      <c r="N130" s="106">
        <v>46051</v>
      </c>
      <c r="O130" s="106" t="s">
        <v>53</v>
      </c>
      <c r="P130" s="106" t="s">
        <v>88</v>
      </c>
      <c r="Q130" s="106">
        <v>46051</v>
      </c>
      <c r="R130" s="106">
        <v>46016</v>
      </c>
      <c r="S130" s="106" t="s">
        <v>787</v>
      </c>
      <c r="T130" s="106" t="s">
        <v>788</v>
      </c>
      <c r="U130" s="106" t="s">
        <v>789</v>
      </c>
      <c r="V130" s="106" t="s">
        <v>790</v>
      </c>
      <c r="W130" s="106" t="s">
        <v>791</v>
      </c>
      <c r="X130" s="121" t="s">
        <v>792</v>
      </c>
    </row>
    <row r="131" spans="1:24" ht="45" customHeight="1">
      <c r="A131" s="84">
        <v>2025</v>
      </c>
      <c r="B131" s="84">
        <v>135</v>
      </c>
      <c r="C131" s="84" t="s">
        <v>67</v>
      </c>
      <c r="D131" s="84" t="s">
        <v>793</v>
      </c>
      <c r="E131" s="99" t="s">
        <v>794</v>
      </c>
      <c r="F131" s="99" t="s">
        <v>795</v>
      </c>
      <c r="G131" s="100">
        <v>46052</v>
      </c>
      <c r="H131" s="82">
        <v>46052</v>
      </c>
      <c r="I131" s="82" t="s">
        <v>60</v>
      </c>
      <c r="J131" s="82">
        <v>46051</v>
      </c>
      <c r="K131" s="83">
        <v>220000</v>
      </c>
      <c r="L131" s="84" t="s">
        <v>60</v>
      </c>
      <c r="M131" s="215" t="s">
        <v>796</v>
      </c>
      <c r="N131" s="100"/>
      <c r="O131" s="100"/>
      <c r="P131" s="100"/>
      <c r="Q131" s="100"/>
      <c r="R131" s="100"/>
      <c r="S131" s="100"/>
      <c r="T131" s="100"/>
      <c r="U131" s="100"/>
      <c r="V131" s="100"/>
      <c r="W131" s="100"/>
      <c r="X131" s="103"/>
    </row>
    <row r="132" spans="1:24" ht="45" customHeight="1">
      <c r="A132" s="84">
        <v>2025</v>
      </c>
      <c r="B132" s="84">
        <v>136</v>
      </c>
      <c r="C132" s="84" t="s">
        <v>55</v>
      </c>
      <c r="D132" s="84" t="s">
        <v>797</v>
      </c>
      <c r="E132" s="99" t="s">
        <v>798</v>
      </c>
      <c r="F132" s="99" t="s">
        <v>799</v>
      </c>
      <c r="G132" s="110" t="s">
        <v>800</v>
      </c>
      <c r="H132" s="216" t="s">
        <v>801</v>
      </c>
      <c r="I132" s="82" t="s">
        <v>76</v>
      </c>
      <c r="J132" s="82" t="s">
        <v>802</v>
      </c>
      <c r="K132" s="83">
        <v>134000000</v>
      </c>
      <c r="L132" s="84" t="s">
        <v>76</v>
      </c>
      <c r="M132" s="217" t="s">
        <v>803</v>
      </c>
      <c r="N132" s="100"/>
      <c r="O132" s="100"/>
      <c r="P132" s="100"/>
      <c r="Q132" s="100"/>
      <c r="R132" s="100"/>
      <c r="S132" s="100"/>
      <c r="T132" s="100"/>
      <c r="U132" s="100"/>
      <c r="V132" s="100"/>
      <c r="W132" s="100"/>
      <c r="X132" s="103"/>
    </row>
    <row r="133" spans="1:24" ht="45" customHeight="1">
      <c r="A133" s="84">
        <v>2025</v>
      </c>
      <c r="B133" s="84">
        <v>137</v>
      </c>
      <c r="C133" s="84" t="s">
        <v>200</v>
      </c>
      <c r="D133" s="84" t="s">
        <v>804</v>
      </c>
      <c r="E133" s="99" t="s">
        <v>805</v>
      </c>
      <c r="F133" s="99" t="s">
        <v>473</v>
      </c>
      <c r="G133" s="100">
        <v>46055</v>
      </c>
      <c r="H133" s="82">
        <v>46110</v>
      </c>
      <c r="I133" s="82" t="s">
        <v>76</v>
      </c>
      <c r="J133" s="82">
        <v>46051</v>
      </c>
      <c r="K133" s="83">
        <v>2750000</v>
      </c>
      <c r="L133" s="84" t="s">
        <v>416</v>
      </c>
      <c r="M133" s="101"/>
      <c r="N133" s="100"/>
      <c r="O133" s="100"/>
      <c r="P133" s="100"/>
      <c r="Q133" s="100"/>
      <c r="R133" s="100"/>
      <c r="S133" s="100"/>
      <c r="T133" s="100"/>
      <c r="U133" s="100"/>
      <c r="V133" s="100"/>
      <c r="W133" s="100"/>
      <c r="X133" s="103"/>
    </row>
    <row r="134" spans="1:24" ht="45" customHeight="1">
      <c r="A134" s="167">
        <v>2025</v>
      </c>
      <c r="B134" s="167">
        <v>138</v>
      </c>
      <c r="C134" s="167" t="s">
        <v>429</v>
      </c>
      <c r="D134" s="167" t="s">
        <v>806</v>
      </c>
      <c r="E134" s="169" t="s">
        <v>807</v>
      </c>
      <c r="F134" s="169" t="s">
        <v>431</v>
      </c>
      <c r="G134" s="170">
        <v>46064</v>
      </c>
      <c r="H134" s="171">
        <v>46064</v>
      </c>
      <c r="I134" s="171" t="s">
        <v>251</v>
      </c>
      <c r="J134" s="171">
        <v>46057</v>
      </c>
      <c r="K134" s="198">
        <v>710000</v>
      </c>
      <c r="L134" s="167" t="s">
        <v>240</v>
      </c>
      <c r="M134" s="173"/>
      <c r="N134" s="170">
        <v>46064</v>
      </c>
      <c r="O134" s="170" t="s">
        <v>265</v>
      </c>
      <c r="P134" s="170"/>
      <c r="Q134" s="170">
        <v>46086</v>
      </c>
      <c r="R134" s="170">
        <v>46064</v>
      </c>
      <c r="S134" s="170" t="s">
        <v>932</v>
      </c>
      <c r="T134" s="170" t="s">
        <v>933</v>
      </c>
      <c r="U134" s="170" t="s">
        <v>934</v>
      </c>
      <c r="V134" s="170" t="s">
        <v>277</v>
      </c>
      <c r="W134" s="170" t="s">
        <v>935</v>
      </c>
      <c r="X134" s="214"/>
    </row>
    <row r="135" spans="1:24" ht="45" customHeight="1">
      <c r="A135" s="167">
        <v>2025</v>
      </c>
      <c r="B135" s="167">
        <v>139</v>
      </c>
      <c r="C135" s="167" t="s">
        <v>227</v>
      </c>
      <c r="D135" s="167" t="s">
        <v>808</v>
      </c>
      <c r="E135" s="169" t="s">
        <v>809</v>
      </c>
      <c r="F135" s="169" t="s">
        <v>810</v>
      </c>
      <c r="G135" s="170">
        <v>46050</v>
      </c>
      <c r="H135" s="171">
        <v>46050</v>
      </c>
      <c r="I135" s="171" t="s">
        <v>76</v>
      </c>
      <c r="J135" s="171"/>
      <c r="K135" s="198">
        <v>190000</v>
      </c>
      <c r="L135" s="167" t="s">
        <v>60</v>
      </c>
      <c r="M135" s="173"/>
      <c r="N135" s="170">
        <v>46058</v>
      </c>
      <c r="O135" s="170" t="s">
        <v>53</v>
      </c>
      <c r="P135" s="170" t="s">
        <v>58</v>
      </c>
      <c r="Q135" s="170">
        <v>46058</v>
      </c>
      <c r="R135" s="170">
        <v>46050</v>
      </c>
      <c r="S135" s="170" t="s">
        <v>707</v>
      </c>
      <c r="T135" s="170" t="s">
        <v>708</v>
      </c>
      <c r="U135" s="170" t="s">
        <v>749</v>
      </c>
      <c r="V135" s="170" t="s">
        <v>459</v>
      </c>
      <c r="W135" s="170" t="s">
        <v>811</v>
      </c>
      <c r="X135" s="214" t="s">
        <v>455</v>
      </c>
    </row>
    <row r="136" spans="1:24" ht="45" customHeight="1">
      <c r="A136" s="167">
        <v>2025</v>
      </c>
      <c r="B136" s="167">
        <v>140</v>
      </c>
      <c r="C136" s="167" t="s">
        <v>236</v>
      </c>
      <c r="D136" s="167" t="s">
        <v>812</v>
      </c>
      <c r="E136" s="169" t="s">
        <v>813</v>
      </c>
      <c r="F136" s="169" t="s">
        <v>814</v>
      </c>
      <c r="G136" s="170">
        <v>46058</v>
      </c>
      <c r="H136" s="171">
        <v>46059</v>
      </c>
      <c r="I136" s="171" t="s">
        <v>76</v>
      </c>
      <c r="J136" s="171"/>
      <c r="K136" s="198">
        <v>430000</v>
      </c>
      <c r="L136" s="167" t="s">
        <v>60</v>
      </c>
      <c r="M136" s="173"/>
      <c r="N136" s="170">
        <v>46087</v>
      </c>
      <c r="O136" s="170" t="s">
        <v>61</v>
      </c>
      <c r="P136" s="170"/>
      <c r="Q136" s="170">
        <v>46087</v>
      </c>
      <c r="R136" s="170">
        <v>46059</v>
      </c>
      <c r="S136" s="170" t="s">
        <v>543</v>
      </c>
      <c r="T136" s="170" t="s">
        <v>487</v>
      </c>
      <c r="U136" s="170" t="s">
        <v>488</v>
      </c>
      <c r="V136" s="170" t="s">
        <v>644</v>
      </c>
      <c r="W136" s="170" t="s">
        <v>815</v>
      </c>
      <c r="X136" s="214"/>
    </row>
    <row r="137" spans="1:24" ht="45" customHeight="1">
      <c r="A137" s="84">
        <v>2025</v>
      </c>
      <c r="B137" s="84">
        <v>141</v>
      </c>
      <c r="C137" s="84" t="s">
        <v>68</v>
      </c>
      <c r="D137" s="84" t="s">
        <v>816</v>
      </c>
      <c r="E137" s="99" t="s">
        <v>817</v>
      </c>
      <c r="F137" s="99" t="s">
        <v>334</v>
      </c>
      <c r="G137" s="100">
        <v>46053</v>
      </c>
      <c r="H137" s="82">
        <v>46067</v>
      </c>
      <c r="I137" s="82" t="s">
        <v>76</v>
      </c>
      <c r="J137" s="82"/>
      <c r="K137" s="83">
        <v>170000</v>
      </c>
      <c r="L137" s="84" t="s">
        <v>60</v>
      </c>
      <c r="M137" s="111" t="s">
        <v>818</v>
      </c>
      <c r="N137" s="100"/>
      <c r="O137" s="100"/>
      <c r="P137" s="100"/>
      <c r="Q137" s="100"/>
      <c r="R137" s="100"/>
      <c r="S137" s="100"/>
      <c r="T137" s="100"/>
      <c r="U137" s="100"/>
      <c r="V137" s="100"/>
      <c r="W137" s="100"/>
      <c r="X137" s="103"/>
    </row>
    <row r="138" spans="1:24" ht="45" customHeight="1">
      <c r="A138" s="167">
        <v>2025</v>
      </c>
      <c r="B138" s="167">
        <v>142</v>
      </c>
      <c r="C138" s="167" t="s">
        <v>227</v>
      </c>
      <c r="D138" s="167" t="s">
        <v>819</v>
      </c>
      <c r="E138" s="169" t="s">
        <v>820</v>
      </c>
      <c r="F138" s="169" t="s">
        <v>463</v>
      </c>
      <c r="G138" s="170">
        <v>46028</v>
      </c>
      <c r="H138" s="171">
        <v>46028</v>
      </c>
      <c r="I138" s="171" t="s">
        <v>76</v>
      </c>
      <c r="J138" s="171"/>
      <c r="K138" s="198">
        <v>30000</v>
      </c>
      <c r="L138" s="167" t="s">
        <v>60</v>
      </c>
      <c r="M138" s="173"/>
      <c r="N138" s="170">
        <v>46062</v>
      </c>
      <c r="O138" s="170" t="s">
        <v>53</v>
      </c>
      <c r="P138" s="170" t="s">
        <v>58</v>
      </c>
      <c r="Q138" s="170">
        <v>46062</v>
      </c>
      <c r="R138" s="170">
        <v>46028</v>
      </c>
      <c r="S138" s="170" t="s">
        <v>707</v>
      </c>
      <c r="T138" s="170" t="s">
        <v>708</v>
      </c>
      <c r="U138" s="170" t="s">
        <v>749</v>
      </c>
      <c r="V138" s="170" t="s">
        <v>459</v>
      </c>
      <c r="W138" s="170" t="s">
        <v>821</v>
      </c>
      <c r="X138" s="214" t="s">
        <v>455</v>
      </c>
    </row>
    <row r="139" spans="1:24" ht="45" customHeight="1">
      <c r="A139" s="84">
        <v>2025</v>
      </c>
      <c r="B139" s="84">
        <v>143</v>
      </c>
      <c r="C139" s="84" t="s">
        <v>55</v>
      </c>
      <c r="D139" s="84" t="s">
        <v>822</v>
      </c>
      <c r="E139" s="99" t="s">
        <v>823</v>
      </c>
      <c r="F139" s="99" t="s">
        <v>824</v>
      </c>
      <c r="G139" s="100">
        <v>46097</v>
      </c>
      <c r="H139" s="82">
        <v>46326</v>
      </c>
      <c r="I139" s="82" t="s">
        <v>76</v>
      </c>
      <c r="J139" s="82">
        <v>46069</v>
      </c>
      <c r="K139" s="83">
        <v>120000000</v>
      </c>
      <c r="L139" s="84" t="s">
        <v>76</v>
      </c>
      <c r="M139" s="111" t="s">
        <v>825</v>
      </c>
      <c r="N139" s="100"/>
      <c r="O139" s="100"/>
      <c r="P139" s="100"/>
      <c r="Q139" s="100"/>
      <c r="R139" s="100"/>
      <c r="S139" s="100"/>
      <c r="T139" s="100"/>
      <c r="U139" s="100"/>
      <c r="V139" s="100"/>
      <c r="W139" s="100"/>
      <c r="X139" s="103"/>
    </row>
    <row r="140" spans="1:24" ht="45" customHeight="1">
      <c r="A140" s="84">
        <v>2025</v>
      </c>
      <c r="B140" s="84">
        <v>144</v>
      </c>
      <c r="C140" s="84" t="s">
        <v>93</v>
      </c>
      <c r="D140" s="84" t="s">
        <v>826</v>
      </c>
      <c r="E140" s="99" t="s">
        <v>827</v>
      </c>
      <c r="F140" s="99" t="s">
        <v>828</v>
      </c>
      <c r="G140" s="100">
        <v>46067</v>
      </c>
      <c r="H140" s="82">
        <v>46067</v>
      </c>
      <c r="I140" s="82" t="s">
        <v>76</v>
      </c>
      <c r="J140" s="82">
        <v>46063</v>
      </c>
      <c r="K140" s="83">
        <v>70000</v>
      </c>
      <c r="L140" s="84" t="s">
        <v>416</v>
      </c>
      <c r="M140" s="123"/>
      <c r="N140" s="100"/>
      <c r="O140" s="100"/>
      <c r="P140" s="100"/>
      <c r="Q140" s="100"/>
      <c r="R140" s="100"/>
      <c r="S140" s="100"/>
      <c r="T140" s="100"/>
      <c r="U140" s="100"/>
      <c r="V140" s="100"/>
      <c r="W140" s="100"/>
      <c r="X140" s="103"/>
    </row>
    <row r="141" spans="1:24" ht="45" customHeight="1">
      <c r="A141" s="84">
        <v>2025</v>
      </c>
      <c r="B141" s="84">
        <v>145</v>
      </c>
      <c r="C141" s="84" t="s">
        <v>93</v>
      </c>
      <c r="D141" s="84" t="s">
        <v>829</v>
      </c>
      <c r="E141" s="99" t="s">
        <v>830</v>
      </c>
      <c r="F141" s="99" t="s">
        <v>94</v>
      </c>
      <c r="G141" s="100">
        <v>46122</v>
      </c>
      <c r="H141" s="82">
        <v>46162</v>
      </c>
      <c r="I141" s="82" t="s">
        <v>76</v>
      </c>
      <c r="J141" s="82">
        <v>46069</v>
      </c>
      <c r="K141" s="83">
        <v>14900000</v>
      </c>
      <c r="L141" s="84" t="s">
        <v>416</v>
      </c>
      <c r="M141" s="123"/>
      <c r="N141" s="100"/>
      <c r="O141" s="100"/>
      <c r="P141" s="100"/>
      <c r="Q141" s="100"/>
      <c r="R141" s="100"/>
      <c r="S141" s="100"/>
      <c r="T141" s="100"/>
      <c r="U141" s="100"/>
      <c r="V141" s="100"/>
      <c r="W141" s="100"/>
      <c r="X141" s="103"/>
    </row>
    <row r="142" spans="1:24" ht="45" customHeight="1">
      <c r="A142" s="167">
        <v>2025</v>
      </c>
      <c r="B142" s="167">
        <v>146</v>
      </c>
      <c r="C142" s="167" t="s">
        <v>531</v>
      </c>
      <c r="D142" s="167" t="s">
        <v>831</v>
      </c>
      <c r="E142" s="169" t="s">
        <v>832</v>
      </c>
      <c r="F142" s="169" t="s">
        <v>833</v>
      </c>
      <c r="G142" s="170">
        <v>46060</v>
      </c>
      <c r="H142" s="171">
        <v>46060</v>
      </c>
      <c r="I142" s="171" t="s">
        <v>240</v>
      </c>
      <c r="J142" s="171">
        <v>46060</v>
      </c>
      <c r="K142" s="198">
        <v>150000</v>
      </c>
      <c r="L142" s="167" t="s">
        <v>60</v>
      </c>
      <c r="M142" s="218"/>
      <c r="N142" s="170">
        <v>46070</v>
      </c>
      <c r="O142" s="170" t="s">
        <v>834</v>
      </c>
      <c r="P142" s="170" t="s">
        <v>58</v>
      </c>
      <c r="Q142" s="170">
        <v>46077</v>
      </c>
      <c r="R142" s="170">
        <v>46060</v>
      </c>
      <c r="S142" s="170" t="s">
        <v>833</v>
      </c>
      <c r="T142" s="170"/>
      <c r="U142" s="170"/>
      <c r="V142" s="170" t="s">
        <v>833</v>
      </c>
      <c r="W142" s="170" t="s">
        <v>833</v>
      </c>
      <c r="X142" s="214"/>
    </row>
    <row r="143" spans="1:24" ht="45" customHeight="1">
      <c r="A143" s="167">
        <v>2025</v>
      </c>
      <c r="B143" s="167">
        <v>147</v>
      </c>
      <c r="C143" s="167" t="s">
        <v>227</v>
      </c>
      <c r="D143" s="167" t="s">
        <v>331</v>
      </c>
      <c r="E143" s="169" t="s">
        <v>332</v>
      </c>
      <c r="F143" s="169" t="s">
        <v>334</v>
      </c>
      <c r="G143" s="170">
        <v>46053</v>
      </c>
      <c r="H143" s="171">
        <v>46067</v>
      </c>
      <c r="I143" s="171" t="s">
        <v>76</v>
      </c>
      <c r="J143" s="171">
        <v>46003</v>
      </c>
      <c r="K143" s="198">
        <v>170000</v>
      </c>
      <c r="L143" s="167" t="s">
        <v>60</v>
      </c>
      <c r="M143" s="218" t="s">
        <v>835</v>
      </c>
      <c r="N143" s="170">
        <v>46071</v>
      </c>
      <c r="O143" s="170" t="s">
        <v>53</v>
      </c>
      <c r="P143" s="170"/>
      <c r="Q143" s="170"/>
      <c r="R143" s="170"/>
      <c r="S143" s="170" t="s">
        <v>334</v>
      </c>
      <c r="T143" s="170" t="s">
        <v>335</v>
      </c>
      <c r="U143" s="170" t="s">
        <v>336</v>
      </c>
      <c r="V143" s="170" t="s">
        <v>836</v>
      </c>
      <c r="W143" s="170" t="s">
        <v>333</v>
      </c>
      <c r="X143" s="214" t="s">
        <v>337</v>
      </c>
    </row>
    <row r="144" spans="1:24" ht="45" customHeight="1">
      <c r="A144" s="104">
        <v>2025</v>
      </c>
      <c r="B144" s="104">
        <v>148</v>
      </c>
      <c r="C144" s="104" t="s">
        <v>255</v>
      </c>
      <c r="D144" s="104" t="s">
        <v>837</v>
      </c>
      <c r="E144" s="105" t="s">
        <v>838</v>
      </c>
      <c r="F144" s="105" t="s">
        <v>839</v>
      </c>
      <c r="G144" s="106">
        <v>45992</v>
      </c>
      <c r="H144" s="107">
        <v>46112</v>
      </c>
      <c r="I144" s="107" t="s">
        <v>60</v>
      </c>
      <c r="J144" s="107"/>
      <c r="K144" s="112">
        <v>200000</v>
      </c>
      <c r="L144" s="104" t="s">
        <v>240</v>
      </c>
      <c r="M144" s="124"/>
      <c r="N144" s="106">
        <v>46074</v>
      </c>
      <c r="O144" s="106" t="s">
        <v>53</v>
      </c>
      <c r="P144" s="106" t="s">
        <v>58</v>
      </c>
      <c r="Q144" s="106">
        <v>46073</v>
      </c>
      <c r="R144" s="106">
        <v>46057</v>
      </c>
      <c r="S144" s="106" t="s">
        <v>840</v>
      </c>
      <c r="T144" s="106" t="s">
        <v>841</v>
      </c>
      <c r="U144" s="106" t="s">
        <v>842</v>
      </c>
      <c r="V144" s="106" t="s">
        <v>843</v>
      </c>
      <c r="W144" s="106" t="s">
        <v>844</v>
      </c>
      <c r="X144" s="121"/>
    </row>
    <row r="145" spans="1:24" ht="45" customHeight="1">
      <c r="A145" s="167">
        <v>2025</v>
      </c>
      <c r="B145" s="167">
        <v>149</v>
      </c>
      <c r="C145" s="167" t="s">
        <v>227</v>
      </c>
      <c r="D145" s="167" t="s">
        <v>845</v>
      </c>
      <c r="E145" s="169" t="s">
        <v>846</v>
      </c>
      <c r="F145" s="169" t="s">
        <v>543</v>
      </c>
      <c r="G145" s="170">
        <v>46077</v>
      </c>
      <c r="H145" s="171">
        <v>46077</v>
      </c>
      <c r="I145" s="171" t="s">
        <v>76</v>
      </c>
      <c r="J145" s="171">
        <v>46077</v>
      </c>
      <c r="K145" s="198">
        <v>33000</v>
      </c>
      <c r="L145" s="167" t="s">
        <v>60</v>
      </c>
      <c r="M145" s="218"/>
      <c r="N145" s="170">
        <v>46078</v>
      </c>
      <c r="O145" s="170" t="s">
        <v>53</v>
      </c>
      <c r="P145" s="170" t="s">
        <v>58</v>
      </c>
      <c r="Q145" s="170">
        <v>46078</v>
      </c>
      <c r="R145" s="170">
        <v>46077</v>
      </c>
      <c r="S145" s="170" t="s">
        <v>543</v>
      </c>
      <c r="T145" s="170" t="s">
        <v>487</v>
      </c>
      <c r="U145" s="170" t="s">
        <v>488</v>
      </c>
      <c r="V145" s="170" t="s">
        <v>644</v>
      </c>
      <c r="W145" s="170" t="s">
        <v>490</v>
      </c>
      <c r="X145" s="214" t="s">
        <v>455</v>
      </c>
    </row>
    <row r="146" spans="1:24" ht="45" customHeight="1">
      <c r="A146" s="84">
        <v>2025</v>
      </c>
      <c r="B146" s="84">
        <v>150</v>
      </c>
      <c r="C146" s="84" t="s">
        <v>436</v>
      </c>
      <c r="D146" s="84" t="s">
        <v>847</v>
      </c>
      <c r="E146" s="99" t="s">
        <v>848</v>
      </c>
      <c r="F146" s="99" t="s">
        <v>697</v>
      </c>
      <c r="G146" s="100">
        <v>46084</v>
      </c>
      <c r="H146" s="82">
        <v>46101</v>
      </c>
      <c r="I146" s="82"/>
      <c r="J146" s="82"/>
      <c r="K146" s="83">
        <v>2100000</v>
      </c>
      <c r="L146" s="84" t="s">
        <v>60</v>
      </c>
      <c r="M146" s="102" t="s">
        <v>112</v>
      </c>
      <c r="N146" s="100"/>
      <c r="O146" s="100"/>
      <c r="P146" s="100"/>
      <c r="Q146" s="100"/>
      <c r="R146" s="100"/>
      <c r="S146" s="100"/>
      <c r="T146" s="100"/>
      <c r="U146" s="100"/>
      <c r="V146" s="100"/>
      <c r="W146" s="100"/>
      <c r="X146" s="103"/>
    </row>
    <row r="147" spans="1:24" ht="45" customHeight="1">
      <c r="A147" s="167">
        <v>2025</v>
      </c>
      <c r="B147" s="167">
        <v>151</v>
      </c>
      <c r="C147" s="167" t="s">
        <v>227</v>
      </c>
      <c r="D147" s="167" t="s">
        <v>849</v>
      </c>
      <c r="E147" s="169" t="s">
        <v>850</v>
      </c>
      <c r="F147" s="169" t="s">
        <v>463</v>
      </c>
      <c r="G147" s="170">
        <v>46073</v>
      </c>
      <c r="H147" s="171">
        <v>46081</v>
      </c>
      <c r="I147" s="171" t="s">
        <v>76</v>
      </c>
      <c r="J147" s="171"/>
      <c r="K147" s="198">
        <v>61000</v>
      </c>
      <c r="L147" s="167" t="s">
        <v>60</v>
      </c>
      <c r="M147" s="218" t="s">
        <v>455</v>
      </c>
      <c r="N147" s="170">
        <v>46085</v>
      </c>
      <c r="O147" s="170" t="s">
        <v>53</v>
      </c>
      <c r="P147" s="170" t="s">
        <v>58</v>
      </c>
      <c r="Q147" s="170"/>
      <c r="R147" s="170"/>
      <c r="S147" s="170" t="s">
        <v>707</v>
      </c>
      <c r="T147" s="170" t="s">
        <v>708</v>
      </c>
      <c r="U147" s="170" t="s">
        <v>749</v>
      </c>
      <c r="V147" s="170" t="s">
        <v>459</v>
      </c>
      <c r="W147" s="170" t="s">
        <v>821</v>
      </c>
      <c r="X147" s="214" t="s">
        <v>455</v>
      </c>
    </row>
    <row r="148" spans="1:24" ht="45" customHeight="1">
      <c r="A148" s="84">
        <v>2025</v>
      </c>
      <c r="B148" s="84">
        <v>152</v>
      </c>
      <c r="C148" s="84" t="s">
        <v>55</v>
      </c>
      <c r="D148" s="84" t="s">
        <v>851</v>
      </c>
      <c r="E148" s="99" t="s">
        <v>852</v>
      </c>
      <c r="F148" s="99" t="s">
        <v>853</v>
      </c>
      <c r="G148" s="100">
        <v>46296</v>
      </c>
      <c r="H148" s="82">
        <v>46660</v>
      </c>
      <c r="I148" s="82" t="s">
        <v>76</v>
      </c>
      <c r="J148" s="82"/>
      <c r="K148" s="83">
        <v>276000000</v>
      </c>
      <c r="L148" s="84" t="s">
        <v>76</v>
      </c>
      <c r="M148" s="125" t="s">
        <v>854</v>
      </c>
      <c r="N148" s="100"/>
      <c r="O148" s="100"/>
      <c r="P148" s="100"/>
      <c r="Q148" s="100"/>
      <c r="R148" s="100"/>
      <c r="S148" s="100"/>
      <c r="T148" s="100"/>
      <c r="U148" s="100"/>
      <c r="V148" s="100"/>
      <c r="W148" s="100"/>
      <c r="X148" s="103"/>
    </row>
    <row r="149" spans="1:24" ht="45" customHeight="1">
      <c r="A149" s="84">
        <v>2025</v>
      </c>
      <c r="B149" s="84">
        <v>153</v>
      </c>
      <c r="C149" s="84" t="s">
        <v>436</v>
      </c>
      <c r="D149" s="84" t="s">
        <v>855</v>
      </c>
      <c r="E149" s="99" t="s">
        <v>856</v>
      </c>
      <c r="F149" s="99" t="s">
        <v>697</v>
      </c>
      <c r="G149" s="100">
        <v>46090</v>
      </c>
      <c r="H149" s="82">
        <v>46092</v>
      </c>
      <c r="I149" s="82" t="s">
        <v>76</v>
      </c>
      <c r="J149" s="82"/>
      <c r="K149" s="83">
        <v>95000</v>
      </c>
      <c r="L149" s="84" t="s">
        <v>60</v>
      </c>
      <c r="M149" s="123"/>
      <c r="N149" s="100"/>
      <c r="O149" s="100"/>
      <c r="P149" s="100"/>
      <c r="Q149" s="100"/>
      <c r="R149" s="100"/>
      <c r="S149" s="100"/>
      <c r="T149" s="100"/>
      <c r="U149" s="100"/>
      <c r="V149" s="100"/>
      <c r="W149" s="100"/>
      <c r="X149" s="103"/>
    </row>
    <row r="150" spans="1:24" ht="45" customHeight="1">
      <c r="A150" s="84">
        <v>2025</v>
      </c>
      <c r="B150" s="84">
        <v>155</v>
      </c>
      <c r="C150" s="84" t="s">
        <v>713</v>
      </c>
      <c r="D150" s="84" t="s">
        <v>857</v>
      </c>
      <c r="E150" s="99" t="s">
        <v>858</v>
      </c>
      <c r="F150" s="99" t="s">
        <v>859</v>
      </c>
      <c r="G150" s="100"/>
      <c r="H150" s="82"/>
      <c r="I150" s="82" t="s">
        <v>76</v>
      </c>
      <c r="J150" s="82">
        <v>46093</v>
      </c>
      <c r="K150" s="83">
        <v>2000000</v>
      </c>
      <c r="L150" s="84" t="s">
        <v>60</v>
      </c>
      <c r="M150" s="123" t="s">
        <v>860</v>
      </c>
      <c r="N150" s="100"/>
      <c r="O150" s="100"/>
      <c r="P150" s="100"/>
      <c r="Q150" s="100"/>
      <c r="R150" s="100"/>
      <c r="S150" s="100"/>
      <c r="T150" s="100"/>
      <c r="U150" s="100"/>
      <c r="V150" s="100"/>
      <c r="W150" s="100"/>
      <c r="X150" s="103"/>
    </row>
    <row r="151" spans="1:24" ht="45" customHeight="1">
      <c r="A151" s="167">
        <v>2025</v>
      </c>
      <c r="B151" s="167">
        <v>156</v>
      </c>
      <c r="C151" s="167" t="s">
        <v>255</v>
      </c>
      <c r="D151" s="167" t="s">
        <v>861</v>
      </c>
      <c r="E151" s="169" t="s">
        <v>862</v>
      </c>
      <c r="F151" s="169" t="s">
        <v>685</v>
      </c>
      <c r="G151" s="170">
        <v>46104</v>
      </c>
      <c r="H151" s="171">
        <v>46173</v>
      </c>
      <c r="I151" s="171"/>
      <c r="J151" s="171"/>
      <c r="K151" s="198">
        <v>12500000</v>
      </c>
      <c r="L151" s="167" t="s">
        <v>76</v>
      </c>
      <c r="M151" s="218"/>
      <c r="N151" s="170">
        <v>46143</v>
      </c>
      <c r="O151" s="170" t="s">
        <v>53</v>
      </c>
      <c r="P151" s="170"/>
      <c r="Q151" s="170">
        <v>46143</v>
      </c>
      <c r="R151" s="170">
        <v>46135</v>
      </c>
      <c r="S151" s="170" t="s">
        <v>306</v>
      </c>
      <c r="T151" s="170" t="s">
        <v>307</v>
      </c>
      <c r="U151" s="170" t="s">
        <v>863</v>
      </c>
      <c r="V151" s="170" t="s">
        <v>322</v>
      </c>
      <c r="W151" s="170" t="s">
        <v>864</v>
      </c>
      <c r="X151" s="214" t="s">
        <v>865</v>
      </c>
    </row>
    <row r="152" spans="1:24" ht="45" customHeight="1">
      <c r="A152" s="84">
        <v>2025</v>
      </c>
      <c r="B152" s="84">
        <v>157</v>
      </c>
      <c r="C152" s="84" t="s">
        <v>67</v>
      </c>
      <c r="D152" s="84" t="s">
        <v>866</v>
      </c>
      <c r="E152" s="99" t="s">
        <v>867</v>
      </c>
      <c r="F152" s="99" t="s">
        <v>685</v>
      </c>
      <c r="G152" s="100">
        <v>46153</v>
      </c>
      <c r="H152" s="82">
        <v>46265</v>
      </c>
      <c r="I152" s="82"/>
      <c r="J152" s="82"/>
      <c r="K152" s="83"/>
      <c r="L152" s="84" t="s">
        <v>76</v>
      </c>
      <c r="M152" s="123"/>
      <c r="N152" s="100"/>
      <c r="O152" s="100"/>
      <c r="P152" s="100"/>
      <c r="Q152" s="100"/>
      <c r="R152" s="100"/>
      <c r="S152" s="100"/>
      <c r="T152" s="100"/>
      <c r="U152" s="100"/>
      <c r="V152" s="100"/>
      <c r="W152" s="100"/>
      <c r="X152" s="103"/>
    </row>
    <row r="153" spans="1:24" ht="45" customHeight="1">
      <c r="A153" s="167">
        <v>2025</v>
      </c>
      <c r="B153" s="167">
        <v>159</v>
      </c>
      <c r="C153" s="167" t="s">
        <v>227</v>
      </c>
      <c r="D153" s="167" t="s">
        <v>868</v>
      </c>
      <c r="E153" s="169" t="s">
        <v>869</v>
      </c>
      <c r="F153" s="169" t="s">
        <v>870</v>
      </c>
      <c r="G153" s="170">
        <v>46099</v>
      </c>
      <c r="H153" s="171">
        <v>46099</v>
      </c>
      <c r="I153" s="171" t="s">
        <v>76</v>
      </c>
      <c r="J153" s="171">
        <v>46099</v>
      </c>
      <c r="K153" s="198">
        <v>80000</v>
      </c>
      <c r="L153" s="167" t="s">
        <v>60</v>
      </c>
      <c r="M153" s="218"/>
      <c r="N153" s="170">
        <v>46101</v>
      </c>
      <c r="O153" s="170" t="s">
        <v>61</v>
      </c>
      <c r="P153" s="170" t="s">
        <v>385</v>
      </c>
      <c r="Q153" s="170">
        <v>46101</v>
      </c>
      <c r="R153" s="170">
        <v>46099</v>
      </c>
      <c r="S153" s="170" t="s">
        <v>870</v>
      </c>
      <c r="T153" s="170" t="s">
        <v>871</v>
      </c>
      <c r="U153" s="170" t="s">
        <v>872</v>
      </c>
      <c r="V153" s="170" t="s">
        <v>459</v>
      </c>
      <c r="W153" s="170" t="s">
        <v>873</v>
      </c>
      <c r="X153" s="214" t="s">
        <v>874</v>
      </c>
    </row>
    <row r="154" spans="1:24" ht="45" customHeight="1">
      <c r="A154" s="167">
        <v>2025</v>
      </c>
      <c r="B154" s="167">
        <v>160</v>
      </c>
      <c r="C154" s="167" t="s">
        <v>227</v>
      </c>
      <c r="D154" s="167" t="s">
        <v>875</v>
      </c>
      <c r="E154" s="169" t="s">
        <v>876</v>
      </c>
      <c r="F154" s="169" t="s">
        <v>877</v>
      </c>
      <c r="G154" s="170">
        <v>46102</v>
      </c>
      <c r="H154" s="171">
        <v>46102</v>
      </c>
      <c r="I154" s="171" t="s">
        <v>251</v>
      </c>
      <c r="J154" s="171">
        <v>46097</v>
      </c>
      <c r="K154" s="198">
        <v>100000</v>
      </c>
      <c r="L154" s="167" t="s">
        <v>60</v>
      </c>
      <c r="M154" s="218"/>
      <c r="N154" s="170">
        <v>46101</v>
      </c>
      <c r="O154" s="170" t="s">
        <v>61</v>
      </c>
      <c r="P154" s="170" t="s">
        <v>455</v>
      </c>
      <c r="Q154" s="170">
        <v>46101</v>
      </c>
      <c r="R154" s="170">
        <v>46102</v>
      </c>
      <c r="S154" s="170" t="s">
        <v>878</v>
      </c>
      <c r="T154" s="170" t="s">
        <v>879</v>
      </c>
      <c r="U154" s="170" t="s">
        <v>880</v>
      </c>
      <c r="V154" s="170" t="s">
        <v>459</v>
      </c>
      <c r="W154" s="170" t="s">
        <v>680</v>
      </c>
      <c r="X154" s="214" t="s">
        <v>881</v>
      </c>
    </row>
    <row r="155" spans="1:24" ht="45" customHeight="1">
      <c r="A155" s="84">
        <v>2025</v>
      </c>
      <c r="B155" s="84">
        <v>161</v>
      </c>
      <c r="C155" s="84" t="s">
        <v>55</v>
      </c>
      <c r="D155" s="84" t="s">
        <v>882</v>
      </c>
      <c r="E155" s="99" t="s">
        <v>883</v>
      </c>
      <c r="F155" s="99" t="s">
        <v>884</v>
      </c>
      <c r="G155" s="100">
        <v>46127</v>
      </c>
      <c r="H155" s="82">
        <v>46460</v>
      </c>
      <c r="I155" s="82" t="s">
        <v>251</v>
      </c>
      <c r="J155" s="82" t="s">
        <v>885</v>
      </c>
      <c r="K155" s="83">
        <v>17300000</v>
      </c>
      <c r="L155" s="84" t="s">
        <v>76</v>
      </c>
      <c r="M155" s="123"/>
      <c r="N155" s="100"/>
      <c r="O155" s="100"/>
      <c r="P155" s="100"/>
      <c r="Q155" s="100"/>
      <c r="R155" s="100"/>
      <c r="S155" s="100"/>
      <c r="T155" s="100"/>
      <c r="U155" s="100"/>
      <c r="V155" s="100"/>
      <c r="W155" s="100"/>
      <c r="X155" s="103"/>
    </row>
    <row r="156" spans="1:24" ht="45" customHeight="1">
      <c r="A156" s="167">
        <v>2025</v>
      </c>
      <c r="B156" s="167">
        <v>162</v>
      </c>
      <c r="C156" s="167" t="s">
        <v>200</v>
      </c>
      <c r="D156" s="167" t="s">
        <v>886</v>
      </c>
      <c r="E156" s="169" t="s">
        <v>887</v>
      </c>
      <c r="F156" s="169" t="s">
        <v>114</v>
      </c>
      <c r="G156" s="170">
        <v>46093</v>
      </c>
      <c r="H156" s="171">
        <v>46093</v>
      </c>
      <c r="I156" s="171" t="s">
        <v>60</v>
      </c>
      <c r="J156" s="171"/>
      <c r="K156" s="198">
        <v>156000</v>
      </c>
      <c r="L156" s="167" t="s">
        <v>60</v>
      </c>
      <c r="M156" s="218"/>
      <c r="N156" s="170">
        <v>46115</v>
      </c>
      <c r="O156" s="170" t="s">
        <v>53</v>
      </c>
      <c r="P156" s="170"/>
      <c r="Q156" s="170">
        <v>46115</v>
      </c>
      <c r="R156" s="170">
        <v>46100</v>
      </c>
      <c r="S156" s="170" t="s">
        <v>114</v>
      </c>
      <c r="T156" s="170" t="s">
        <v>115</v>
      </c>
      <c r="U156" s="170" t="s">
        <v>116</v>
      </c>
      <c r="V156" s="170" t="s">
        <v>117</v>
      </c>
      <c r="W156" s="170" t="s">
        <v>114</v>
      </c>
      <c r="X156" s="214"/>
    </row>
    <row r="157" spans="1:24" ht="45" customHeight="1">
      <c r="A157" s="167">
        <v>2025</v>
      </c>
      <c r="B157" s="167">
        <v>163</v>
      </c>
      <c r="C157" s="167" t="s">
        <v>200</v>
      </c>
      <c r="D157" s="167" t="s">
        <v>888</v>
      </c>
      <c r="E157" s="169" t="s">
        <v>889</v>
      </c>
      <c r="F157" s="169" t="s">
        <v>114</v>
      </c>
      <c r="G157" s="170">
        <v>46106</v>
      </c>
      <c r="H157" s="171">
        <v>46122</v>
      </c>
      <c r="I157" s="171" t="s">
        <v>60</v>
      </c>
      <c r="J157" s="171">
        <v>46101</v>
      </c>
      <c r="K157" s="198">
        <v>950000</v>
      </c>
      <c r="L157" s="167" t="s">
        <v>60</v>
      </c>
      <c r="M157" s="218"/>
      <c r="N157" s="170">
        <v>46122</v>
      </c>
      <c r="O157" s="170" t="s">
        <v>53</v>
      </c>
      <c r="P157" s="170"/>
      <c r="Q157" s="170">
        <v>46125</v>
      </c>
      <c r="R157" s="170">
        <v>46122</v>
      </c>
      <c r="S157" s="170" t="s">
        <v>114</v>
      </c>
      <c r="T157" s="170" t="s">
        <v>115</v>
      </c>
      <c r="U157" s="170" t="s">
        <v>116</v>
      </c>
      <c r="V157" s="170" t="s">
        <v>117</v>
      </c>
      <c r="W157" s="170" t="s">
        <v>114</v>
      </c>
      <c r="X157" s="214"/>
    </row>
    <row r="158" spans="1:24" ht="45" customHeight="1">
      <c r="A158" s="167">
        <v>2025</v>
      </c>
      <c r="B158" s="167">
        <v>164</v>
      </c>
      <c r="C158" s="167" t="s">
        <v>200</v>
      </c>
      <c r="D158" s="167" t="s">
        <v>890</v>
      </c>
      <c r="E158" s="169" t="s">
        <v>891</v>
      </c>
      <c r="F158" s="169" t="s">
        <v>114</v>
      </c>
      <c r="G158" s="170">
        <v>46105</v>
      </c>
      <c r="H158" s="171">
        <v>46105</v>
      </c>
      <c r="I158" s="171"/>
      <c r="J158" s="171">
        <v>46105</v>
      </c>
      <c r="K158" s="198">
        <v>25000</v>
      </c>
      <c r="L158" s="167" t="s">
        <v>60</v>
      </c>
      <c r="M158" s="218"/>
      <c r="N158" s="170">
        <v>46122</v>
      </c>
      <c r="O158" s="170" t="s">
        <v>53</v>
      </c>
      <c r="P158" s="170"/>
      <c r="Q158" s="170">
        <v>46122</v>
      </c>
      <c r="R158" s="170"/>
      <c r="S158" s="170" t="s">
        <v>114</v>
      </c>
      <c r="T158" s="170" t="s">
        <v>115</v>
      </c>
      <c r="U158" s="170" t="s">
        <v>116</v>
      </c>
      <c r="V158" s="170" t="s">
        <v>117</v>
      </c>
      <c r="W158" s="170" t="s">
        <v>114</v>
      </c>
      <c r="X158" s="214"/>
    </row>
    <row r="159" spans="1:24" ht="45" customHeight="1">
      <c r="A159" s="167">
        <v>2025</v>
      </c>
      <c r="B159" s="167">
        <v>165</v>
      </c>
      <c r="C159" s="167" t="s">
        <v>227</v>
      </c>
      <c r="D159" s="167" t="s">
        <v>892</v>
      </c>
      <c r="E159" s="169" t="s">
        <v>893</v>
      </c>
      <c r="F159" s="169" t="s">
        <v>707</v>
      </c>
      <c r="G159" s="170">
        <v>46087</v>
      </c>
      <c r="H159" s="171">
        <v>46105</v>
      </c>
      <c r="I159" s="171" t="s">
        <v>76</v>
      </c>
      <c r="J159" s="171">
        <v>46083</v>
      </c>
      <c r="K159" s="198">
        <v>350000</v>
      </c>
      <c r="L159" s="167" t="s">
        <v>60</v>
      </c>
      <c r="M159" s="218" t="s">
        <v>455</v>
      </c>
      <c r="N159" s="170">
        <v>46112</v>
      </c>
      <c r="O159" s="170" t="s">
        <v>53</v>
      </c>
      <c r="P159" s="170" t="s">
        <v>455</v>
      </c>
      <c r="Q159" s="170">
        <v>46112</v>
      </c>
      <c r="R159" s="170">
        <v>46105</v>
      </c>
      <c r="S159" s="170" t="s">
        <v>810</v>
      </c>
      <c r="T159" s="170" t="s">
        <v>708</v>
      </c>
      <c r="U159" s="170" t="s">
        <v>894</v>
      </c>
      <c r="V159" s="170" t="s">
        <v>459</v>
      </c>
      <c r="W159" s="170" t="s">
        <v>895</v>
      </c>
      <c r="X159" s="214" t="s">
        <v>455</v>
      </c>
    </row>
    <row r="160" spans="1:24" ht="45" customHeight="1">
      <c r="A160" s="167">
        <v>2025</v>
      </c>
      <c r="B160" s="167">
        <v>166</v>
      </c>
      <c r="C160" s="167" t="s">
        <v>200</v>
      </c>
      <c r="D160" s="167" t="s">
        <v>896</v>
      </c>
      <c r="E160" s="169" t="s">
        <v>897</v>
      </c>
      <c r="F160" s="169" t="s">
        <v>898</v>
      </c>
      <c r="G160" s="170">
        <v>46098</v>
      </c>
      <c r="H160" s="171">
        <v>46098</v>
      </c>
      <c r="I160" s="171" t="s">
        <v>76</v>
      </c>
      <c r="J160" s="171">
        <v>46094</v>
      </c>
      <c r="K160" s="198">
        <v>25000</v>
      </c>
      <c r="L160" s="167" t="s">
        <v>60</v>
      </c>
      <c r="M160" s="218"/>
      <c r="N160" s="170">
        <v>46115</v>
      </c>
      <c r="O160" s="170" t="s">
        <v>53</v>
      </c>
      <c r="P160" s="170"/>
      <c r="Q160" s="170">
        <v>46115</v>
      </c>
      <c r="R160" s="170">
        <v>46115</v>
      </c>
      <c r="S160" s="170" t="s">
        <v>98</v>
      </c>
      <c r="T160" s="170" t="s">
        <v>99</v>
      </c>
      <c r="U160" s="170" t="s">
        <v>100</v>
      </c>
      <c r="V160" s="170" t="s">
        <v>101</v>
      </c>
      <c r="W160" s="170" t="s">
        <v>98</v>
      </c>
      <c r="X160" s="214" t="s">
        <v>899</v>
      </c>
    </row>
    <row r="161" spans="1:24" ht="45" customHeight="1">
      <c r="A161" s="84">
        <v>2025</v>
      </c>
      <c r="B161" s="84">
        <v>167</v>
      </c>
      <c r="C161" s="84" t="s">
        <v>758</v>
      </c>
      <c r="D161" s="84" t="s">
        <v>900</v>
      </c>
      <c r="E161" s="99" t="s">
        <v>901</v>
      </c>
      <c r="F161" s="99" t="s">
        <v>902</v>
      </c>
      <c r="G161" s="100"/>
      <c r="H161" s="82"/>
      <c r="I161" s="82"/>
      <c r="J161" s="82"/>
      <c r="K161" s="83"/>
      <c r="L161" s="84" t="s">
        <v>76</v>
      </c>
      <c r="M161" s="123"/>
      <c r="N161" s="100"/>
      <c r="O161" s="100"/>
      <c r="P161" s="100"/>
      <c r="Q161" s="100"/>
      <c r="R161" s="100"/>
      <c r="S161" s="100"/>
      <c r="T161" s="100"/>
      <c r="U161" s="100"/>
      <c r="V161" s="100"/>
      <c r="W161" s="100"/>
      <c r="X161" s="103"/>
    </row>
    <row r="162" spans="1:24" ht="45" customHeight="1">
      <c r="A162" s="84">
        <v>2025</v>
      </c>
      <c r="B162" s="84">
        <v>168</v>
      </c>
      <c r="C162" s="84" t="s">
        <v>93</v>
      </c>
      <c r="D162" s="84" t="s">
        <v>903</v>
      </c>
      <c r="E162" s="99" t="s">
        <v>904</v>
      </c>
      <c r="F162" s="99" t="s">
        <v>114</v>
      </c>
      <c r="G162" s="100">
        <v>46139</v>
      </c>
      <c r="H162" s="82">
        <v>46157</v>
      </c>
      <c r="I162" s="82" t="s">
        <v>60</v>
      </c>
      <c r="J162" s="82">
        <v>46136</v>
      </c>
      <c r="K162" s="83">
        <v>123000</v>
      </c>
      <c r="L162" s="84" t="s">
        <v>60</v>
      </c>
      <c r="M162" s="102" t="s">
        <v>112</v>
      </c>
      <c r="N162" s="100"/>
      <c r="O162" s="100"/>
      <c r="P162" s="100"/>
      <c r="Q162" s="100"/>
      <c r="R162" s="100"/>
      <c r="S162" s="100"/>
      <c r="T162" s="100"/>
      <c r="U162" s="100"/>
      <c r="V162" s="100"/>
      <c r="W162" s="100"/>
      <c r="X162" s="103"/>
    </row>
    <row r="163" spans="1:24" ht="45" customHeight="1">
      <c r="A163" s="126">
        <v>2026</v>
      </c>
      <c r="B163" s="84">
        <v>169</v>
      </c>
      <c r="C163" s="84" t="s">
        <v>713</v>
      </c>
      <c r="D163" s="84" t="s">
        <v>905</v>
      </c>
      <c r="E163" s="99" t="s">
        <v>906</v>
      </c>
      <c r="F163" s="99" t="s">
        <v>907</v>
      </c>
      <c r="G163" s="100">
        <v>45839</v>
      </c>
      <c r="H163" s="82">
        <v>46258</v>
      </c>
      <c r="I163" s="82" t="s">
        <v>76</v>
      </c>
      <c r="J163" s="82">
        <v>45834</v>
      </c>
      <c r="K163" s="83">
        <v>128210000</v>
      </c>
      <c r="L163" s="84" t="s">
        <v>76</v>
      </c>
      <c r="M163" s="123"/>
      <c r="N163" s="100"/>
      <c r="O163" s="100"/>
      <c r="P163" s="100"/>
      <c r="Q163" s="100"/>
      <c r="R163" s="100"/>
      <c r="S163" s="100"/>
      <c r="T163" s="100"/>
      <c r="U163" s="100"/>
      <c r="V163" s="100"/>
      <c r="W163" s="100"/>
      <c r="X163" s="103"/>
    </row>
    <row r="164" spans="1:24" ht="45" customHeight="1">
      <c r="A164" s="167">
        <v>2025</v>
      </c>
      <c r="B164" s="167">
        <v>170</v>
      </c>
      <c r="C164" s="167" t="s">
        <v>531</v>
      </c>
      <c r="D164" s="167" t="s">
        <v>908</v>
      </c>
      <c r="E164" s="169" t="s">
        <v>909</v>
      </c>
      <c r="F164" s="169" t="s">
        <v>910</v>
      </c>
      <c r="G164" s="170">
        <v>46151</v>
      </c>
      <c r="H164" s="171">
        <v>46152</v>
      </c>
      <c r="I164" s="171" t="s">
        <v>251</v>
      </c>
      <c r="J164" s="171">
        <v>46132</v>
      </c>
      <c r="K164" s="198">
        <v>350000</v>
      </c>
      <c r="L164" s="167" t="s">
        <v>240</v>
      </c>
      <c r="M164" s="218"/>
      <c r="N164" s="170">
        <v>46158</v>
      </c>
      <c r="O164" s="170" t="s">
        <v>53</v>
      </c>
      <c r="P164" s="170"/>
      <c r="Q164" s="170">
        <v>46172</v>
      </c>
      <c r="R164" s="170">
        <v>46152</v>
      </c>
      <c r="S164" s="170" t="s">
        <v>968</v>
      </c>
      <c r="T164" s="170" t="s">
        <v>969</v>
      </c>
      <c r="U164" s="170" t="s">
        <v>970</v>
      </c>
      <c r="V164" s="170" t="s">
        <v>971</v>
      </c>
      <c r="W164" s="170" t="s">
        <v>972</v>
      </c>
      <c r="X164" s="214" t="s">
        <v>973</v>
      </c>
    </row>
    <row r="165" spans="1:24" ht="45" customHeight="1">
      <c r="A165" s="167">
        <v>2025</v>
      </c>
      <c r="B165" s="167">
        <v>171</v>
      </c>
      <c r="C165" s="167" t="s">
        <v>227</v>
      </c>
      <c r="D165" s="167" t="s">
        <v>911</v>
      </c>
      <c r="E165" s="169" t="s">
        <v>912</v>
      </c>
      <c r="F165" s="169" t="s">
        <v>753</v>
      </c>
      <c r="G165" s="170">
        <v>46129</v>
      </c>
      <c r="H165" s="171">
        <v>46129</v>
      </c>
      <c r="I165" s="171" t="s">
        <v>76</v>
      </c>
      <c r="J165" s="171">
        <v>46119</v>
      </c>
      <c r="K165" s="198">
        <v>120000</v>
      </c>
      <c r="L165" s="167" t="s">
        <v>60</v>
      </c>
      <c r="M165" s="218" t="s">
        <v>455</v>
      </c>
      <c r="N165" s="170">
        <v>46141</v>
      </c>
      <c r="O165" s="170" t="s">
        <v>53</v>
      </c>
      <c r="P165" s="170" t="s">
        <v>455</v>
      </c>
      <c r="Q165" s="170">
        <v>46141</v>
      </c>
      <c r="R165" s="170">
        <v>46129</v>
      </c>
      <c r="S165" s="170" t="s">
        <v>722</v>
      </c>
      <c r="T165" s="170" t="s">
        <v>487</v>
      </c>
      <c r="U165" s="170" t="s">
        <v>723</v>
      </c>
      <c r="V165" s="170" t="s">
        <v>459</v>
      </c>
      <c r="W165" s="170" t="s">
        <v>724</v>
      </c>
      <c r="X165" s="214" t="s">
        <v>455</v>
      </c>
    </row>
    <row r="166" spans="1:24" ht="45" customHeight="1">
      <c r="A166" s="84">
        <v>2025</v>
      </c>
      <c r="B166" s="84">
        <v>172</v>
      </c>
      <c r="C166" s="84" t="s">
        <v>93</v>
      </c>
      <c r="D166" s="84" t="s">
        <v>913</v>
      </c>
      <c r="E166" s="99" t="s">
        <v>914</v>
      </c>
      <c r="F166" s="99" t="s">
        <v>915</v>
      </c>
      <c r="G166" s="100">
        <v>46141</v>
      </c>
      <c r="H166" s="82">
        <v>46160</v>
      </c>
      <c r="I166" s="82" t="s">
        <v>76</v>
      </c>
      <c r="J166" s="82">
        <v>46140</v>
      </c>
      <c r="K166" s="83">
        <v>50000</v>
      </c>
      <c r="L166" s="84" t="s">
        <v>60</v>
      </c>
      <c r="M166" s="123" t="s">
        <v>916</v>
      </c>
      <c r="N166" s="100"/>
      <c r="O166" s="100"/>
      <c r="P166" s="100"/>
      <c r="Q166" s="100"/>
      <c r="R166" s="100"/>
      <c r="S166" s="100"/>
      <c r="T166" s="100"/>
      <c r="U166" s="100"/>
      <c r="V166" s="100"/>
      <c r="W166" s="100"/>
      <c r="X166" s="103"/>
    </row>
    <row r="167" spans="1:24" ht="45" customHeight="1">
      <c r="A167" s="149">
        <v>2025</v>
      </c>
      <c r="B167" s="149">
        <v>173</v>
      </c>
      <c r="C167" s="149" t="s">
        <v>227</v>
      </c>
      <c r="D167" s="149" t="s">
        <v>917</v>
      </c>
      <c r="E167" s="151" t="s">
        <v>918</v>
      </c>
      <c r="F167" s="151" t="s">
        <v>722</v>
      </c>
      <c r="G167" s="152">
        <v>46154</v>
      </c>
      <c r="H167" s="153">
        <v>46154</v>
      </c>
      <c r="I167" s="153" t="s">
        <v>76</v>
      </c>
      <c r="J167" s="153">
        <v>46153</v>
      </c>
      <c r="K167" s="154">
        <v>30000</v>
      </c>
      <c r="L167" s="149" t="s">
        <v>60</v>
      </c>
      <c r="M167" s="219" t="s">
        <v>455</v>
      </c>
      <c r="N167" s="152">
        <v>46157</v>
      </c>
      <c r="O167" s="152" t="s">
        <v>53</v>
      </c>
      <c r="P167" s="152" t="s">
        <v>58</v>
      </c>
      <c r="Q167" s="152">
        <v>46157</v>
      </c>
      <c r="R167" s="152">
        <v>46154</v>
      </c>
      <c r="S167" s="152" t="s">
        <v>722</v>
      </c>
      <c r="T167" s="152" t="s">
        <v>487</v>
      </c>
      <c r="U167" s="152" t="s">
        <v>723</v>
      </c>
      <c r="V167" s="152" t="s">
        <v>459</v>
      </c>
      <c r="W167" s="152" t="s">
        <v>724</v>
      </c>
      <c r="X167" s="196" t="s">
        <v>58</v>
      </c>
    </row>
    <row r="168" spans="1:24" ht="45" customHeight="1">
      <c r="A168" s="149">
        <v>2025</v>
      </c>
      <c r="B168" s="149">
        <v>174</v>
      </c>
      <c r="C168" s="149" t="s">
        <v>941</v>
      </c>
      <c r="D168" s="149" t="s">
        <v>323</v>
      </c>
      <c r="E168" s="151" t="s">
        <v>936</v>
      </c>
      <c r="F168" s="151" t="s">
        <v>937</v>
      </c>
      <c r="G168" s="152">
        <v>46125</v>
      </c>
      <c r="H168" s="153">
        <v>46125</v>
      </c>
      <c r="I168" s="153" t="s">
        <v>76</v>
      </c>
      <c r="J168" s="153">
        <v>46157</v>
      </c>
      <c r="K168" s="154">
        <v>15000000</v>
      </c>
      <c r="L168" s="149" t="s">
        <v>60</v>
      </c>
      <c r="M168" s="219"/>
      <c r="N168" s="152">
        <v>46160</v>
      </c>
      <c r="O168" s="152" t="s">
        <v>974</v>
      </c>
      <c r="P168" s="152" t="s">
        <v>299</v>
      </c>
      <c r="Q168" s="152">
        <v>46157</v>
      </c>
      <c r="R168" s="152">
        <v>46125</v>
      </c>
      <c r="S168" s="152" t="s">
        <v>975</v>
      </c>
      <c r="T168" s="152" t="s">
        <v>293</v>
      </c>
      <c r="U168" s="152" t="s">
        <v>294</v>
      </c>
      <c r="V168" s="152"/>
      <c r="W168" s="152"/>
      <c r="X168" s="196" t="s">
        <v>976</v>
      </c>
    </row>
    <row r="169" spans="1:24" ht="45" customHeight="1">
      <c r="A169" s="245">
        <v>2025</v>
      </c>
      <c r="B169" s="245">
        <v>175</v>
      </c>
      <c r="C169" s="245" t="s">
        <v>941</v>
      </c>
      <c r="D169" s="245" t="s">
        <v>925</v>
      </c>
      <c r="E169" s="246" t="s">
        <v>977</v>
      </c>
      <c r="F169" s="246" t="s">
        <v>978</v>
      </c>
      <c r="G169" s="247">
        <v>46113</v>
      </c>
      <c r="H169" s="248">
        <v>46143</v>
      </c>
      <c r="I169" s="248" t="s">
        <v>76</v>
      </c>
      <c r="J169" s="248"/>
      <c r="K169" s="249">
        <v>505150000</v>
      </c>
      <c r="L169" s="245" t="s">
        <v>60</v>
      </c>
      <c r="M169" s="250"/>
      <c r="N169" s="247">
        <v>46160</v>
      </c>
      <c r="O169" s="247" t="s">
        <v>998</v>
      </c>
      <c r="P169" s="247" t="s">
        <v>999</v>
      </c>
      <c r="Q169" s="247">
        <v>46204</v>
      </c>
      <c r="R169" s="247">
        <v>46174</v>
      </c>
      <c r="S169" s="247" t="s">
        <v>292</v>
      </c>
      <c r="T169" s="247" t="s">
        <v>293</v>
      </c>
      <c r="U169" s="247" t="s">
        <v>294</v>
      </c>
      <c r="V169" s="247"/>
      <c r="W169" s="247"/>
      <c r="X169" s="251" t="s">
        <v>1001</v>
      </c>
    </row>
    <row r="170" spans="1:24" ht="45" customHeight="1">
      <c r="A170" s="252">
        <v>2025</v>
      </c>
      <c r="B170" s="252">
        <v>176</v>
      </c>
      <c r="C170" s="252" t="s">
        <v>93</v>
      </c>
      <c r="D170" s="252" t="s">
        <v>981</v>
      </c>
      <c r="E170" s="253" t="s">
        <v>982</v>
      </c>
      <c r="F170" s="253" t="s">
        <v>771</v>
      </c>
      <c r="G170" s="254">
        <v>46139</v>
      </c>
      <c r="H170" s="255">
        <v>46169</v>
      </c>
      <c r="I170" s="255" t="s">
        <v>60</v>
      </c>
      <c r="J170" s="255">
        <v>46139</v>
      </c>
      <c r="K170" s="256">
        <v>123000</v>
      </c>
      <c r="L170" s="252" t="s">
        <v>60</v>
      </c>
      <c r="M170" s="257"/>
      <c r="N170" s="254"/>
      <c r="O170" s="254"/>
      <c r="P170" s="254"/>
      <c r="Q170" s="254"/>
      <c r="R170" s="254"/>
      <c r="S170" s="254"/>
      <c r="T170" s="254"/>
      <c r="U170" s="254"/>
      <c r="V170" s="254"/>
      <c r="W170" s="254"/>
      <c r="X170" s="258"/>
    </row>
    <row r="171" spans="1:24" ht="45" customHeight="1">
      <c r="A171" s="252">
        <v>2025</v>
      </c>
      <c r="B171" s="252">
        <v>177</v>
      </c>
      <c r="C171" s="252" t="s">
        <v>919</v>
      </c>
      <c r="D171" s="252" t="s">
        <v>983</v>
      </c>
      <c r="E171" s="253" t="s">
        <v>936</v>
      </c>
      <c r="F171" s="253" t="s">
        <v>984</v>
      </c>
      <c r="G171" s="254">
        <v>46143</v>
      </c>
      <c r="H171" s="255">
        <v>46143</v>
      </c>
      <c r="I171" s="255" t="s">
        <v>76</v>
      </c>
      <c r="J171" s="255">
        <v>46143</v>
      </c>
      <c r="K171" s="256">
        <v>500000</v>
      </c>
      <c r="L171" s="252" t="s">
        <v>76</v>
      </c>
      <c r="M171" s="257" t="s">
        <v>985</v>
      </c>
      <c r="N171" s="254"/>
      <c r="O171" s="254"/>
      <c r="P171" s="254"/>
      <c r="Q171" s="254"/>
      <c r="R171" s="254"/>
      <c r="S171" s="254"/>
      <c r="T171" s="254"/>
      <c r="U171" s="254"/>
      <c r="V171" s="254"/>
      <c r="W171" s="254"/>
      <c r="X171" s="258"/>
    </row>
    <row r="172" spans="1:24" ht="45" customHeight="1"/>
    <row r="173" spans="1:24" ht="45" customHeight="1"/>
    <row r="174" spans="1:24" ht="45" customHeight="1"/>
    <row r="175" spans="1:24" ht="45" customHeight="1"/>
    <row r="176" spans="1:24" ht="45" customHeight="1"/>
    <row r="177" ht="45" customHeight="1"/>
    <row r="178" ht="45" customHeight="1"/>
    <row r="179" ht="45" customHeight="1"/>
    <row r="180" ht="45" customHeight="1"/>
    <row r="181" ht="45" customHeight="1"/>
    <row r="182" ht="45" customHeight="1"/>
    <row r="183" ht="45" customHeight="1"/>
    <row r="184" ht="45" customHeight="1"/>
    <row r="185" ht="45" customHeight="1"/>
    <row r="186" ht="45" customHeight="1"/>
    <row r="187" ht="45" customHeight="1"/>
    <row r="188" ht="45" customHeight="1"/>
    <row r="189" ht="45" customHeight="1"/>
    <row r="190" ht="45" customHeight="1"/>
    <row r="191" ht="45" customHeight="1"/>
    <row r="192" ht="45" customHeight="1"/>
    <row r="193" ht="45" customHeight="1"/>
    <row r="194" ht="45" customHeight="1"/>
    <row r="195" ht="45" customHeight="1"/>
    <row r="196" ht="45" customHeight="1"/>
    <row r="197" ht="45" customHeight="1"/>
    <row r="198" ht="45" customHeight="1"/>
    <row r="199" ht="45" customHeight="1"/>
    <row r="200" ht="45" customHeight="1"/>
    <row r="201" ht="45" customHeight="1"/>
    <row r="202" ht="45" customHeight="1"/>
    <row r="203" ht="45" customHeight="1"/>
    <row r="204" ht="45" customHeight="1"/>
    <row r="205" ht="45" customHeight="1"/>
    <row r="206" ht="45" customHeight="1"/>
    <row r="207" ht="45" customHeight="1"/>
    <row r="208" ht="45" customHeight="1"/>
    <row r="209" ht="45" customHeight="1"/>
    <row r="210" ht="45" customHeight="1"/>
    <row r="211" ht="45" customHeight="1"/>
    <row r="212" ht="45" customHeight="1"/>
    <row r="213" ht="45" customHeight="1"/>
    <row r="214" ht="45" customHeight="1"/>
    <row r="215" ht="45" customHeight="1"/>
    <row r="216" ht="45" customHeight="1"/>
    <row r="217" ht="45" customHeight="1"/>
    <row r="218" ht="45" customHeight="1"/>
    <row r="219" ht="45" customHeight="1"/>
    <row r="220" ht="45" customHeight="1"/>
    <row r="221" ht="45" customHeight="1"/>
    <row r="222" ht="45" customHeight="1"/>
    <row r="223" ht="45" customHeight="1"/>
    <row r="224" ht="45" customHeight="1"/>
    <row r="225" ht="45" customHeight="1"/>
    <row r="226" ht="45" customHeight="1"/>
    <row r="227" ht="45" customHeight="1"/>
    <row r="228" ht="45" customHeight="1"/>
    <row r="229" ht="45" customHeight="1"/>
    <row r="230" ht="45" customHeight="1"/>
    <row r="231" ht="45" customHeight="1"/>
    <row r="232" ht="45" customHeight="1"/>
    <row r="233" ht="45" customHeight="1"/>
    <row r="234" ht="45" customHeight="1"/>
    <row r="235" ht="45" customHeight="1"/>
    <row r="236" ht="45" customHeight="1"/>
    <row r="237" ht="45" customHeight="1"/>
    <row r="238" ht="45" customHeight="1"/>
    <row r="239" ht="45" customHeight="1"/>
    <row r="240" ht="45" customHeight="1"/>
    <row r="241" ht="45" customHeight="1"/>
    <row r="242" ht="45" customHeight="1"/>
    <row r="243" ht="45" customHeight="1"/>
    <row r="244" ht="45" customHeight="1"/>
    <row r="245" ht="45" customHeight="1"/>
    <row r="246" ht="45" customHeight="1"/>
    <row r="247" ht="45" customHeight="1"/>
    <row r="248" ht="45" customHeight="1"/>
    <row r="249" ht="45" customHeight="1"/>
    <row r="250" ht="45" customHeight="1"/>
    <row r="251" ht="45" customHeight="1"/>
    <row r="252" ht="45" customHeight="1"/>
    <row r="253" ht="45" customHeight="1"/>
    <row r="254" ht="45" customHeight="1"/>
    <row r="255" ht="45" customHeight="1"/>
    <row r="256" ht="45" customHeight="1"/>
    <row r="257" ht="45" customHeight="1"/>
    <row r="258" ht="45" customHeight="1"/>
    <row r="259" ht="45" customHeight="1"/>
    <row r="260" ht="45" customHeight="1"/>
    <row r="261" ht="45" customHeight="1"/>
  </sheetData>
  <sheetProtection algorithmName="SHA-512" hashValue="B/xX7CPt4rM62DNUQQVbzOfuvfFSoanXMUE6XXdEGpajUTtxAbsh49SfZmw2LYXoL5t63EjVKmg9nRXYKDLnew==" saltValue="QuovyR1v/+RqeB0MgK6TBA==" spinCount="100000" sheet="1" objects="1" scenarios="1" sort="0" autoFilter="0"/>
  <mergeCells count="2">
    <mergeCell ref="A1:M1"/>
    <mergeCell ref="N1:X1"/>
  </mergeCells>
  <phoneticPr fontId="5"/>
  <conditionalFormatting sqref="N2:X2 N1">
    <cfRule type="cellIs" dxfId="574" priority="20156" stopIfTrue="1" operator="equal">
      <formula>0</formula>
    </cfRule>
  </conditionalFormatting>
  <conditionalFormatting sqref="C6 E6:M6 C124 E124:M124 E127:M127 C127 C130 E130:M130 E144:M144 C144">
    <cfRule type="expression" dxfId="573" priority="573" stopIfTrue="1">
      <formula>ISERROR</formula>
    </cfRule>
  </conditionalFormatting>
  <conditionalFormatting sqref="N6:X6 C124:X124 C127:X127 C130:X130 C144:X144">
    <cfRule type="cellIs" dxfId="572" priority="570" stopIfTrue="1" operator="equal">
      <formula>0</formula>
    </cfRule>
  </conditionalFormatting>
  <conditionalFormatting sqref="D6:M6">
    <cfRule type="cellIs" dxfId="571" priority="571" stopIfTrue="1" operator="equal">
      <formula>0</formula>
    </cfRule>
  </conditionalFormatting>
  <conditionalFormatting sqref="C6">
    <cfRule type="cellIs" dxfId="570" priority="572" stopIfTrue="1" operator="equal">
      <formula>0</formula>
    </cfRule>
  </conditionalFormatting>
  <conditionalFormatting sqref="L6">
    <cfRule type="cellIs" dxfId="569" priority="569" stopIfTrue="1" operator="equal">
      <formula>0</formula>
    </cfRule>
  </conditionalFormatting>
  <conditionalFormatting sqref="L6">
    <cfRule type="cellIs" dxfId="568" priority="568" stopIfTrue="1" operator="equal">
      <formula>0</formula>
    </cfRule>
  </conditionalFormatting>
  <conditionalFormatting sqref="I6">
    <cfRule type="cellIs" dxfId="567" priority="567" stopIfTrue="1" operator="equal">
      <formula>0</formula>
    </cfRule>
  </conditionalFormatting>
  <conditionalFormatting sqref="C3 E3:F3 I3:M3">
    <cfRule type="expression" dxfId="566" priority="566" stopIfTrue="1">
      <formula>ISERROR</formula>
    </cfRule>
  </conditionalFormatting>
  <conditionalFormatting sqref="N3:X3">
    <cfRule type="cellIs" dxfId="565" priority="563" stopIfTrue="1" operator="equal">
      <formula>0</formula>
    </cfRule>
  </conditionalFormatting>
  <conditionalFormatting sqref="D3:F3 I3:M3">
    <cfRule type="cellIs" dxfId="564" priority="564" stopIfTrue="1" operator="equal">
      <formula>0</formula>
    </cfRule>
  </conditionalFormatting>
  <conditionalFormatting sqref="C3">
    <cfRule type="cellIs" dxfId="563" priority="565" stopIfTrue="1" operator="equal">
      <formula>0</formula>
    </cfRule>
  </conditionalFormatting>
  <conditionalFormatting sqref="L3">
    <cfRule type="cellIs" dxfId="562" priority="562" stopIfTrue="1" operator="equal">
      <formula>0</formula>
    </cfRule>
  </conditionalFormatting>
  <conditionalFormatting sqref="L3">
    <cfRule type="cellIs" dxfId="561" priority="561" stopIfTrue="1" operator="equal">
      <formula>0</formula>
    </cfRule>
  </conditionalFormatting>
  <conditionalFormatting sqref="I3">
    <cfRule type="cellIs" dxfId="560" priority="560" stopIfTrue="1" operator="equal">
      <formula>0</formula>
    </cfRule>
  </conditionalFormatting>
  <conditionalFormatting sqref="G3:H3">
    <cfRule type="expression" dxfId="559" priority="559" stopIfTrue="1">
      <formula>ISERROR</formula>
    </cfRule>
  </conditionalFormatting>
  <conditionalFormatting sqref="G3:H3">
    <cfRule type="cellIs" dxfId="558" priority="558" stopIfTrue="1" operator="equal">
      <formula>0</formula>
    </cfRule>
  </conditionalFormatting>
  <conditionalFormatting sqref="C4 E4:M4">
    <cfRule type="expression" dxfId="557" priority="557" stopIfTrue="1">
      <formula>ISERROR</formula>
    </cfRule>
  </conditionalFormatting>
  <conditionalFormatting sqref="N4:X4">
    <cfRule type="cellIs" dxfId="556" priority="554" stopIfTrue="1" operator="equal">
      <formula>0</formula>
    </cfRule>
  </conditionalFormatting>
  <conditionalFormatting sqref="D4:M4">
    <cfRule type="cellIs" dxfId="555" priority="555" stopIfTrue="1" operator="equal">
      <formula>0</formula>
    </cfRule>
  </conditionalFormatting>
  <conditionalFormatting sqref="C4">
    <cfRule type="cellIs" dxfId="554" priority="556" stopIfTrue="1" operator="equal">
      <formula>0</formula>
    </cfRule>
  </conditionalFormatting>
  <conditionalFormatting sqref="L4">
    <cfRule type="cellIs" dxfId="553" priority="553" stopIfTrue="1" operator="equal">
      <formula>0</formula>
    </cfRule>
  </conditionalFormatting>
  <conditionalFormatting sqref="L4">
    <cfRule type="cellIs" dxfId="552" priority="552" stopIfTrue="1" operator="equal">
      <formula>0</formula>
    </cfRule>
  </conditionalFormatting>
  <conditionalFormatting sqref="I4">
    <cfRule type="cellIs" dxfId="551" priority="551" stopIfTrue="1" operator="equal">
      <formula>0</formula>
    </cfRule>
  </conditionalFormatting>
  <conditionalFormatting sqref="C5 E5:M5">
    <cfRule type="expression" dxfId="550" priority="550" stopIfTrue="1">
      <formula>ISERROR</formula>
    </cfRule>
  </conditionalFormatting>
  <conditionalFormatting sqref="N5:X5">
    <cfRule type="cellIs" dxfId="549" priority="547" stopIfTrue="1" operator="equal">
      <formula>0</formula>
    </cfRule>
  </conditionalFormatting>
  <conditionalFormatting sqref="D5:M5">
    <cfRule type="cellIs" dxfId="548" priority="548" stopIfTrue="1" operator="equal">
      <formula>0</formula>
    </cfRule>
  </conditionalFormatting>
  <conditionalFormatting sqref="C5">
    <cfRule type="cellIs" dxfId="547" priority="549" stopIfTrue="1" operator="equal">
      <formula>0</formula>
    </cfRule>
  </conditionalFormatting>
  <conditionalFormatting sqref="L5">
    <cfRule type="cellIs" dxfId="546" priority="546" stopIfTrue="1" operator="equal">
      <formula>0</formula>
    </cfRule>
  </conditionalFormatting>
  <conditionalFormatting sqref="L5">
    <cfRule type="cellIs" dxfId="545" priority="545" stopIfTrue="1" operator="equal">
      <formula>0</formula>
    </cfRule>
  </conditionalFormatting>
  <conditionalFormatting sqref="I5">
    <cfRule type="cellIs" dxfId="544" priority="544" stopIfTrue="1" operator="equal">
      <formula>0</formula>
    </cfRule>
  </conditionalFormatting>
  <conditionalFormatting sqref="C7 E7:M7">
    <cfRule type="expression" dxfId="543" priority="543" stopIfTrue="1">
      <formula>ISERROR</formula>
    </cfRule>
  </conditionalFormatting>
  <conditionalFormatting sqref="N7:X7">
    <cfRule type="cellIs" dxfId="542" priority="540" stopIfTrue="1" operator="equal">
      <formula>0</formula>
    </cfRule>
  </conditionalFormatting>
  <conditionalFormatting sqref="D7:M7">
    <cfRule type="cellIs" dxfId="541" priority="541" stopIfTrue="1" operator="equal">
      <formula>0</formula>
    </cfRule>
  </conditionalFormatting>
  <conditionalFormatting sqref="C7">
    <cfRule type="cellIs" dxfId="540" priority="542" stopIfTrue="1" operator="equal">
      <formula>0</formula>
    </cfRule>
  </conditionalFormatting>
  <conditionalFormatting sqref="L7">
    <cfRule type="cellIs" dxfId="539" priority="539" stopIfTrue="1" operator="equal">
      <formula>0</formula>
    </cfRule>
  </conditionalFormatting>
  <conditionalFormatting sqref="L7">
    <cfRule type="cellIs" dxfId="538" priority="538" stopIfTrue="1" operator="equal">
      <formula>0</formula>
    </cfRule>
  </conditionalFormatting>
  <conditionalFormatting sqref="I7">
    <cfRule type="cellIs" dxfId="537" priority="537" stopIfTrue="1" operator="equal">
      <formula>0</formula>
    </cfRule>
  </conditionalFormatting>
  <conditionalFormatting sqref="C8 E8:M8">
    <cfRule type="expression" dxfId="536" priority="536" stopIfTrue="1">
      <formula>ISERROR</formula>
    </cfRule>
  </conditionalFormatting>
  <conditionalFormatting sqref="N8:X8">
    <cfRule type="cellIs" dxfId="535" priority="533" stopIfTrue="1" operator="equal">
      <formula>0</formula>
    </cfRule>
  </conditionalFormatting>
  <conditionalFormatting sqref="D8:M8">
    <cfRule type="cellIs" dxfId="534" priority="534" stopIfTrue="1" operator="equal">
      <formula>0</formula>
    </cfRule>
  </conditionalFormatting>
  <conditionalFormatting sqref="C8">
    <cfRule type="cellIs" dxfId="533" priority="535" stopIfTrue="1" operator="equal">
      <formula>0</formula>
    </cfRule>
  </conditionalFormatting>
  <conditionalFormatting sqref="L8">
    <cfRule type="cellIs" dxfId="532" priority="532" stopIfTrue="1" operator="equal">
      <formula>0</formula>
    </cfRule>
  </conditionalFormatting>
  <conditionalFormatting sqref="L8">
    <cfRule type="cellIs" dxfId="531" priority="531" stopIfTrue="1" operator="equal">
      <formula>0</formula>
    </cfRule>
  </conditionalFormatting>
  <conditionalFormatting sqref="I8">
    <cfRule type="cellIs" dxfId="530" priority="530" stopIfTrue="1" operator="equal">
      <formula>0</formula>
    </cfRule>
  </conditionalFormatting>
  <conditionalFormatting sqref="C9 E9:M9">
    <cfRule type="expression" dxfId="529" priority="529" stopIfTrue="1">
      <formula>ISERROR</formula>
    </cfRule>
  </conditionalFormatting>
  <conditionalFormatting sqref="N9:X9">
    <cfRule type="cellIs" dxfId="528" priority="526" stopIfTrue="1" operator="equal">
      <formula>0</formula>
    </cfRule>
  </conditionalFormatting>
  <conditionalFormatting sqref="D9:M9">
    <cfRule type="cellIs" dxfId="527" priority="527" stopIfTrue="1" operator="equal">
      <formula>0</formula>
    </cfRule>
  </conditionalFormatting>
  <conditionalFormatting sqref="C9">
    <cfRule type="cellIs" dxfId="526" priority="528" stopIfTrue="1" operator="equal">
      <formula>0</formula>
    </cfRule>
  </conditionalFormatting>
  <conditionalFormatting sqref="L9">
    <cfRule type="cellIs" dxfId="525" priority="525" stopIfTrue="1" operator="equal">
      <formula>0</formula>
    </cfRule>
  </conditionalFormatting>
  <conditionalFormatting sqref="L9">
    <cfRule type="cellIs" dxfId="524" priority="524" stopIfTrue="1" operator="equal">
      <formula>0</formula>
    </cfRule>
  </conditionalFormatting>
  <conditionalFormatting sqref="I9">
    <cfRule type="cellIs" dxfId="523" priority="523" stopIfTrue="1" operator="equal">
      <formula>0</formula>
    </cfRule>
  </conditionalFormatting>
  <conditionalFormatting sqref="C10 E10:M10">
    <cfRule type="expression" dxfId="522" priority="522" stopIfTrue="1">
      <formula>ISERROR</formula>
    </cfRule>
  </conditionalFormatting>
  <conditionalFormatting sqref="N10:X10">
    <cfRule type="cellIs" dxfId="521" priority="519" stopIfTrue="1" operator="equal">
      <formula>0</formula>
    </cfRule>
  </conditionalFormatting>
  <conditionalFormatting sqref="D10:M10">
    <cfRule type="cellIs" dxfId="520" priority="520" stopIfTrue="1" operator="equal">
      <formula>0</formula>
    </cfRule>
  </conditionalFormatting>
  <conditionalFormatting sqref="C10">
    <cfRule type="cellIs" dxfId="519" priority="521" stopIfTrue="1" operator="equal">
      <formula>0</formula>
    </cfRule>
  </conditionalFormatting>
  <conditionalFormatting sqref="L10">
    <cfRule type="cellIs" dxfId="518" priority="518" stopIfTrue="1" operator="equal">
      <formula>0</formula>
    </cfRule>
  </conditionalFormatting>
  <conditionalFormatting sqref="L10">
    <cfRule type="cellIs" dxfId="517" priority="517" stopIfTrue="1" operator="equal">
      <formula>0</formula>
    </cfRule>
  </conditionalFormatting>
  <conditionalFormatting sqref="I10">
    <cfRule type="cellIs" dxfId="516" priority="516" stopIfTrue="1" operator="equal">
      <formula>0</formula>
    </cfRule>
  </conditionalFormatting>
  <conditionalFormatting sqref="C11 E11:M11">
    <cfRule type="expression" dxfId="515" priority="515" stopIfTrue="1">
      <formula>ISERROR</formula>
    </cfRule>
  </conditionalFormatting>
  <conditionalFormatting sqref="N11:X11">
    <cfRule type="cellIs" dxfId="514" priority="512" stopIfTrue="1" operator="equal">
      <formula>0</formula>
    </cfRule>
  </conditionalFormatting>
  <conditionalFormatting sqref="D11:M11">
    <cfRule type="cellIs" dxfId="513" priority="513" stopIfTrue="1" operator="equal">
      <formula>0</formula>
    </cfRule>
  </conditionalFormatting>
  <conditionalFormatting sqref="C11">
    <cfRule type="cellIs" dxfId="512" priority="514" stopIfTrue="1" operator="equal">
      <formula>0</formula>
    </cfRule>
  </conditionalFormatting>
  <conditionalFormatting sqref="L11">
    <cfRule type="cellIs" dxfId="511" priority="511" stopIfTrue="1" operator="equal">
      <formula>0</formula>
    </cfRule>
  </conditionalFormatting>
  <conditionalFormatting sqref="L11">
    <cfRule type="cellIs" dxfId="510" priority="510" stopIfTrue="1" operator="equal">
      <formula>0</formula>
    </cfRule>
  </conditionalFormatting>
  <conditionalFormatting sqref="I11">
    <cfRule type="cellIs" dxfId="509" priority="509" stopIfTrue="1" operator="equal">
      <formula>0</formula>
    </cfRule>
  </conditionalFormatting>
  <conditionalFormatting sqref="C12 E12:M12">
    <cfRule type="expression" dxfId="508" priority="508" stopIfTrue="1">
      <formula>ISERROR</formula>
    </cfRule>
  </conditionalFormatting>
  <conditionalFormatting sqref="N12:X12">
    <cfRule type="cellIs" dxfId="507" priority="505" stopIfTrue="1" operator="equal">
      <formula>0</formula>
    </cfRule>
  </conditionalFormatting>
  <conditionalFormatting sqref="D12:H12 J12:M12">
    <cfRule type="cellIs" dxfId="506" priority="506" stopIfTrue="1" operator="equal">
      <formula>0</formula>
    </cfRule>
  </conditionalFormatting>
  <conditionalFormatting sqref="C12">
    <cfRule type="cellIs" dxfId="505" priority="507" stopIfTrue="1" operator="equal">
      <formula>0</formula>
    </cfRule>
  </conditionalFormatting>
  <conditionalFormatting sqref="L12">
    <cfRule type="cellIs" dxfId="504" priority="504" stopIfTrue="1" operator="equal">
      <formula>0</formula>
    </cfRule>
  </conditionalFormatting>
  <conditionalFormatting sqref="L12">
    <cfRule type="cellIs" dxfId="503" priority="503" stopIfTrue="1" operator="equal">
      <formula>0</formula>
    </cfRule>
  </conditionalFormatting>
  <conditionalFormatting sqref="I12">
    <cfRule type="cellIs" dxfId="502" priority="502" stopIfTrue="1" operator="equal">
      <formula>0</formula>
    </cfRule>
  </conditionalFormatting>
  <conditionalFormatting sqref="C13 E13:M13">
    <cfRule type="expression" dxfId="501" priority="501" stopIfTrue="1">
      <formula>ISERROR</formula>
    </cfRule>
  </conditionalFormatting>
  <conditionalFormatting sqref="N13:X13">
    <cfRule type="cellIs" dxfId="500" priority="498" stopIfTrue="1" operator="equal">
      <formula>0</formula>
    </cfRule>
  </conditionalFormatting>
  <conditionalFormatting sqref="D13:M13">
    <cfRule type="cellIs" dxfId="499" priority="499" stopIfTrue="1" operator="equal">
      <formula>0</formula>
    </cfRule>
  </conditionalFormatting>
  <conditionalFormatting sqref="C13">
    <cfRule type="cellIs" dxfId="498" priority="500" stopIfTrue="1" operator="equal">
      <formula>0</formula>
    </cfRule>
  </conditionalFormatting>
  <conditionalFormatting sqref="L13">
    <cfRule type="cellIs" dxfId="497" priority="497" stopIfTrue="1" operator="equal">
      <formula>0</formula>
    </cfRule>
  </conditionalFormatting>
  <conditionalFormatting sqref="L13">
    <cfRule type="cellIs" dxfId="496" priority="496" stopIfTrue="1" operator="equal">
      <formula>0</formula>
    </cfRule>
  </conditionalFormatting>
  <conditionalFormatting sqref="C14 E14:F14 L14:M14">
    <cfRule type="expression" dxfId="495" priority="495" stopIfTrue="1">
      <formula>ISERROR</formula>
    </cfRule>
  </conditionalFormatting>
  <conditionalFormatting sqref="N14:X14">
    <cfRule type="cellIs" dxfId="494" priority="492" stopIfTrue="1" operator="equal">
      <formula>0</formula>
    </cfRule>
  </conditionalFormatting>
  <conditionalFormatting sqref="D14:F14 L14:M14">
    <cfRule type="cellIs" dxfId="493" priority="493" stopIfTrue="1" operator="equal">
      <formula>0</formula>
    </cfRule>
  </conditionalFormatting>
  <conditionalFormatting sqref="C14">
    <cfRule type="cellIs" dxfId="492" priority="494" stopIfTrue="1" operator="equal">
      <formula>0</formula>
    </cfRule>
  </conditionalFormatting>
  <conditionalFormatting sqref="L14">
    <cfRule type="cellIs" dxfId="491" priority="491" stopIfTrue="1" operator="equal">
      <formula>0</formula>
    </cfRule>
  </conditionalFormatting>
  <conditionalFormatting sqref="L14">
    <cfRule type="cellIs" dxfId="490" priority="490" stopIfTrue="1" operator="equal">
      <formula>0</formula>
    </cfRule>
  </conditionalFormatting>
  <conditionalFormatting sqref="G14:K14">
    <cfRule type="expression" dxfId="489" priority="489" stopIfTrue="1">
      <formula>ISERROR</formula>
    </cfRule>
  </conditionalFormatting>
  <conditionalFormatting sqref="G14:K14">
    <cfRule type="cellIs" dxfId="488" priority="488" stopIfTrue="1" operator="equal">
      <formula>0</formula>
    </cfRule>
  </conditionalFormatting>
  <conditionalFormatting sqref="C15 E15:M15">
    <cfRule type="expression" dxfId="487" priority="487" stopIfTrue="1">
      <formula>ISERROR</formula>
    </cfRule>
  </conditionalFormatting>
  <conditionalFormatting sqref="N15:X15">
    <cfRule type="cellIs" dxfId="486" priority="484" stopIfTrue="1" operator="equal">
      <formula>0</formula>
    </cfRule>
  </conditionalFormatting>
  <conditionalFormatting sqref="M15 D15:K15">
    <cfRule type="cellIs" dxfId="485" priority="485" stopIfTrue="1" operator="equal">
      <formula>0</formula>
    </cfRule>
  </conditionalFormatting>
  <conditionalFormatting sqref="C15">
    <cfRule type="cellIs" dxfId="484" priority="486" stopIfTrue="1" operator="equal">
      <formula>0</formula>
    </cfRule>
  </conditionalFormatting>
  <conditionalFormatting sqref="L15">
    <cfRule type="cellIs" dxfId="483" priority="483" stopIfTrue="1" operator="equal">
      <formula>0</formula>
    </cfRule>
  </conditionalFormatting>
  <conditionalFormatting sqref="C16 E16:M16">
    <cfRule type="expression" dxfId="482" priority="482" stopIfTrue="1">
      <formula>ISERROR</formula>
    </cfRule>
  </conditionalFormatting>
  <conditionalFormatting sqref="N16:X16">
    <cfRule type="cellIs" dxfId="481" priority="478" stopIfTrue="1" operator="equal">
      <formula>0</formula>
    </cfRule>
  </conditionalFormatting>
  <conditionalFormatting sqref="M16 D16:K16">
    <cfRule type="cellIs" dxfId="480" priority="479" stopIfTrue="1" operator="equal">
      <formula>0</formula>
    </cfRule>
  </conditionalFormatting>
  <conditionalFormatting sqref="F16:J16">
    <cfRule type="expression" dxfId="479" priority="481" stopIfTrue="1">
      <formula>ISERROR</formula>
    </cfRule>
  </conditionalFormatting>
  <conditionalFormatting sqref="C16">
    <cfRule type="cellIs" dxfId="478" priority="480" stopIfTrue="1" operator="equal">
      <formula>0</formula>
    </cfRule>
  </conditionalFormatting>
  <conditionalFormatting sqref="L16">
    <cfRule type="cellIs" dxfId="477" priority="477" stopIfTrue="1" operator="equal">
      <formula>0</formula>
    </cfRule>
  </conditionalFormatting>
  <conditionalFormatting sqref="C17 E17:M17">
    <cfRule type="expression" dxfId="476" priority="476" stopIfTrue="1">
      <formula>ISERROR</formula>
    </cfRule>
  </conditionalFormatting>
  <conditionalFormatting sqref="N17:X17">
    <cfRule type="cellIs" dxfId="475" priority="473" stopIfTrue="1" operator="equal">
      <formula>0</formula>
    </cfRule>
  </conditionalFormatting>
  <conditionalFormatting sqref="M17 D17:K17">
    <cfRule type="cellIs" dxfId="474" priority="474" stopIfTrue="1" operator="equal">
      <formula>0</formula>
    </cfRule>
  </conditionalFormatting>
  <conditionalFormatting sqref="C17">
    <cfRule type="cellIs" dxfId="473" priority="475" stopIfTrue="1" operator="equal">
      <formula>0</formula>
    </cfRule>
  </conditionalFormatting>
  <conditionalFormatting sqref="L17">
    <cfRule type="cellIs" dxfId="472" priority="472" stopIfTrue="1" operator="equal">
      <formula>0</formula>
    </cfRule>
  </conditionalFormatting>
  <conditionalFormatting sqref="I17">
    <cfRule type="cellIs" dxfId="471" priority="471" stopIfTrue="1" operator="equal">
      <formula>0</formula>
    </cfRule>
  </conditionalFormatting>
  <conditionalFormatting sqref="C18 M18 E18:K18">
    <cfRule type="expression" dxfId="470" priority="470" stopIfTrue="1">
      <formula>ISERROR</formula>
    </cfRule>
  </conditionalFormatting>
  <conditionalFormatting sqref="N18:X18">
    <cfRule type="cellIs" dxfId="469" priority="467" stopIfTrue="1" operator="equal">
      <formula>0</formula>
    </cfRule>
  </conditionalFormatting>
  <conditionalFormatting sqref="M18 D18:K18">
    <cfRule type="cellIs" dxfId="468" priority="468" stopIfTrue="1" operator="equal">
      <formula>0</formula>
    </cfRule>
  </conditionalFormatting>
  <conditionalFormatting sqref="C18">
    <cfRule type="cellIs" dxfId="467" priority="469" stopIfTrue="1" operator="equal">
      <formula>0</formula>
    </cfRule>
  </conditionalFormatting>
  <conditionalFormatting sqref="K18:L18">
    <cfRule type="cellIs" dxfId="466" priority="466" stopIfTrue="1" operator="equal">
      <formula>0</formula>
    </cfRule>
  </conditionalFormatting>
  <conditionalFormatting sqref="L18">
    <cfRule type="expression" dxfId="465" priority="464" stopIfTrue="1">
      <formula>ISERROR</formula>
    </cfRule>
  </conditionalFormatting>
  <conditionalFormatting sqref="L18">
    <cfRule type="cellIs" dxfId="464" priority="465" stopIfTrue="1" operator="equal">
      <formula>0</formula>
    </cfRule>
  </conditionalFormatting>
  <conditionalFormatting sqref="C19 E19:M19">
    <cfRule type="expression" dxfId="463" priority="463" stopIfTrue="1">
      <formula>ISERROR</formula>
    </cfRule>
  </conditionalFormatting>
  <conditionalFormatting sqref="N19:X19">
    <cfRule type="cellIs" dxfId="462" priority="460" stopIfTrue="1" operator="equal">
      <formula>0</formula>
    </cfRule>
  </conditionalFormatting>
  <conditionalFormatting sqref="M19 D19:K19">
    <cfRule type="cellIs" dxfId="461" priority="461" stopIfTrue="1" operator="equal">
      <formula>0</formula>
    </cfRule>
  </conditionalFormatting>
  <conditionalFormatting sqref="C19">
    <cfRule type="cellIs" dxfId="460" priority="462" stopIfTrue="1" operator="equal">
      <formula>0</formula>
    </cfRule>
  </conditionalFormatting>
  <conditionalFormatting sqref="L19">
    <cfRule type="cellIs" dxfId="459" priority="459" stopIfTrue="1" operator="equal">
      <formula>0</formula>
    </cfRule>
  </conditionalFormatting>
  <conditionalFormatting sqref="C20 E20:M20">
    <cfRule type="expression" dxfId="458" priority="458" stopIfTrue="1">
      <formula>ISERROR</formula>
    </cfRule>
  </conditionalFormatting>
  <conditionalFormatting sqref="N20:X20">
    <cfRule type="cellIs" dxfId="457" priority="455" stopIfTrue="1" operator="equal">
      <formula>0</formula>
    </cfRule>
  </conditionalFormatting>
  <conditionalFormatting sqref="M20 D20:H20 J20:K20">
    <cfRule type="cellIs" dxfId="456" priority="456" stopIfTrue="1" operator="equal">
      <formula>0</formula>
    </cfRule>
  </conditionalFormatting>
  <conditionalFormatting sqref="C20">
    <cfRule type="cellIs" dxfId="455" priority="457" stopIfTrue="1" operator="equal">
      <formula>0</formula>
    </cfRule>
  </conditionalFormatting>
  <conditionalFormatting sqref="L20">
    <cfRule type="cellIs" dxfId="454" priority="454" stopIfTrue="1" operator="equal">
      <formula>0</formula>
    </cfRule>
  </conditionalFormatting>
  <conditionalFormatting sqref="I20">
    <cfRule type="cellIs" dxfId="453" priority="453" stopIfTrue="1" operator="equal">
      <formula>0</formula>
    </cfRule>
  </conditionalFormatting>
  <conditionalFormatting sqref="L21">
    <cfRule type="expression" dxfId="452" priority="452" stopIfTrue="1">
      <formula>ISERROR</formula>
    </cfRule>
  </conditionalFormatting>
  <conditionalFormatting sqref="N21:X21">
    <cfRule type="cellIs" dxfId="451" priority="448" stopIfTrue="1" operator="equal">
      <formula>0</formula>
    </cfRule>
  </conditionalFormatting>
  <conditionalFormatting sqref="M21 D21">
    <cfRule type="cellIs" dxfId="450" priority="450" stopIfTrue="1" operator="equal">
      <formula>0</formula>
    </cfRule>
  </conditionalFormatting>
  <conditionalFormatting sqref="M21">
    <cfRule type="expression" dxfId="449" priority="449" stopIfTrue="1">
      <formula>ISERROR</formula>
    </cfRule>
  </conditionalFormatting>
  <conditionalFormatting sqref="C21">
    <cfRule type="cellIs" dxfId="448" priority="451" stopIfTrue="1" operator="equal">
      <formula>0</formula>
    </cfRule>
  </conditionalFormatting>
  <conditionalFormatting sqref="L21">
    <cfRule type="cellIs" dxfId="447" priority="447" stopIfTrue="1" operator="equal">
      <formula>0</formula>
    </cfRule>
  </conditionalFormatting>
  <conditionalFormatting sqref="E21:K21">
    <cfRule type="expression" dxfId="446" priority="444" stopIfTrue="1">
      <formula>ISERROR</formula>
    </cfRule>
  </conditionalFormatting>
  <conditionalFormatting sqref="I21">
    <cfRule type="expression" dxfId="445" priority="446" stopIfTrue="1">
      <formula>ISERROR</formula>
    </cfRule>
  </conditionalFormatting>
  <conditionalFormatting sqref="E21:K21">
    <cfRule type="cellIs" dxfId="444" priority="445" stopIfTrue="1" operator="equal">
      <formula>0</formula>
    </cfRule>
  </conditionalFormatting>
  <conditionalFormatting sqref="L22 I22">
    <cfRule type="expression" dxfId="443" priority="443" stopIfTrue="1">
      <formula>ISERROR</formula>
    </cfRule>
  </conditionalFormatting>
  <conditionalFormatting sqref="N22:X22">
    <cfRule type="cellIs" dxfId="442" priority="439" stopIfTrue="1" operator="equal">
      <formula>0</formula>
    </cfRule>
  </conditionalFormatting>
  <conditionalFormatting sqref="M22 D22:H22 J22:K22">
    <cfRule type="cellIs" dxfId="441" priority="441" stopIfTrue="1" operator="equal">
      <formula>0</formula>
    </cfRule>
  </conditionalFormatting>
  <conditionalFormatting sqref="M22 E22:H22 J22:K22">
    <cfRule type="expression" dxfId="440" priority="440" stopIfTrue="1">
      <formula>ISERROR</formula>
    </cfRule>
  </conditionalFormatting>
  <conditionalFormatting sqref="C22">
    <cfRule type="cellIs" dxfId="439" priority="442" stopIfTrue="1" operator="equal">
      <formula>0</formula>
    </cfRule>
  </conditionalFormatting>
  <conditionalFormatting sqref="L22">
    <cfRule type="cellIs" dxfId="438" priority="438" stopIfTrue="1" operator="equal">
      <formula>0</formula>
    </cfRule>
  </conditionalFormatting>
  <conditionalFormatting sqref="I22">
    <cfRule type="cellIs" dxfId="437" priority="437" stopIfTrue="1" operator="equal">
      <formula>0</formula>
    </cfRule>
  </conditionalFormatting>
  <conditionalFormatting sqref="L23 I23">
    <cfRule type="expression" dxfId="436" priority="436" stopIfTrue="1">
      <formula>ISERROR</formula>
    </cfRule>
  </conditionalFormatting>
  <conditionalFormatting sqref="N23:X23">
    <cfRule type="cellIs" dxfId="435" priority="432" stopIfTrue="1" operator="equal">
      <formula>0</formula>
    </cfRule>
  </conditionalFormatting>
  <conditionalFormatting sqref="M23 J23:K23 D23:G23">
    <cfRule type="cellIs" dxfId="434" priority="434" stopIfTrue="1" operator="equal">
      <formula>0</formula>
    </cfRule>
  </conditionalFormatting>
  <conditionalFormatting sqref="M23 J23:K23 E23:G23">
    <cfRule type="expression" dxfId="433" priority="433" stopIfTrue="1">
      <formula>ISERROR</formula>
    </cfRule>
  </conditionalFormatting>
  <conditionalFormatting sqref="C23">
    <cfRule type="cellIs" dxfId="432" priority="435" stopIfTrue="1" operator="equal">
      <formula>0</formula>
    </cfRule>
  </conditionalFormatting>
  <conditionalFormatting sqref="L23">
    <cfRule type="cellIs" dxfId="431" priority="431" stopIfTrue="1" operator="equal">
      <formula>0</formula>
    </cfRule>
  </conditionalFormatting>
  <conditionalFormatting sqref="I23">
    <cfRule type="cellIs" dxfId="430" priority="430" stopIfTrue="1" operator="equal">
      <formula>0</formula>
    </cfRule>
  </conditionalFormatting>
  <conditionalFormatting sqref="H23">
    <cfRule type="cellIs" dxfId="429" priority="429" stopIfTrue="1" operator="equal">
      <formula>0</formula>
    </cfRule>
  </conditionalFormatting>
  <conditionalFormatting sqref="H23">
    <cfRule type="expression" dxfId="428" priority="428" stopIfTrue="1">
      <formula>ISERROR</formula>
    </cfRule>
  </conditionalFormatting>
  <conditionalFormatting sqref="L24 I24">
    <cfRule type="expression" dxfId="427" priority="427" stopIfTrue="1">
      <formula>ISERROR</formula>
    </cfRule>
  </conditionalFormatting>
  <conditionalFormatting sqref="N24:X24">
    <cfRule type="cellIs" dxfId="426" priority="423" stopIfTrue="1" operator="equal">
      <formula>0</formula>
    </cfRule>
  </conditionalFormatting>
  <conditionalFormatting sqref="M24 J24:K24 D24:H24">
    <cfRule type="cellIs" dxfId="425" priority="425" stopIfTrue="1" operator="equal">
      <formula>0</formula>
    </cfRule>
  </conditionalFormatting>
  <conditionalFormatting sqref="M24 J24:K24 E24:H24">
    <cfRule type="expression" dxfId="424" priority="424" stopIfTrue="1">
      <formula>ISERROR</formula>
    </cfRule>
  </conditionalFormatting>
  <conditionalFormatting sqref="C24">
    <cfRule type="cellIs" dxfId="423" priority="426" stopIfTrue="1" operator="equal">
      <formula>0</formula>
    </cfRule>
  </conditionalFormatting>
  <conditionalFormatting sqref="L24">
    <cfRule type="cellIs" dxfId="422" priority="422" stopIfTrue="1" operator="equal">
      <formula>0</formula>
    </cfRule>
  </conditionalFormatting>
  <conditionalFormatting sqref="I24">
    <cfRule type="cellIs" dxfId="421" priority="421" stopIfTrue="1" operator="equal">
      <formula>0</formula>
    </cfRule>
  </conditionalFormatting>
  <conditionalFormatting sqref="L25 I25">
    <cfRule type="expression" dxfId="420" priority="420" stopIfTrue="1">
      <formula>ISERROR</formula>
    </cfRule>
  </conditionalFormatting>
  <conditionalFormatting sqref="N25:X25">
    <cfRule type="cellIs" dxfId="419" priority="416" stopIfTrue="1" operator="equal">
      <formula>0</formula>
    </cfRule>
  </conditionalFormatting>
  <conditionalFormatting sqref="M25 J25:K25 D25:H25">
    <cfRule type="cellIs" dxfId="418" priority="418" stopIfTrue="1" operator="equal">
      <formula>0</formula>
    </cfRule>
  </conditionalFormatting>
  <conditionalFormatting sqref="M25 J25:K25 E25:H25">
    <cfRule type="expression" dxfId="417" priority="417" stopIfTrue="1">
      <formula>ISERROR</formula>
    </cfRule>
  </conditionalFormatting>
  <conditionalFormatting sqref="C25">
    <cfRule type="cellIs" dxfId="416" priority="419" stopIfTrue="1" operator="equal">
      <formula>0</formula>
    </cfRule>
  </conditionalFormatting>
  <conditionalFormatting sqref="L25">
    <cfRule type="cellIs" dxfId="415" priority="415" stopIfTrue="1" operator="equal">
      <formula>0</formula>
    </cfRule>
  </conditionalFormatting>
  <conditionalFormatting sqref="I25">
    <cfRule type="cellIs" dxfId="414" priority="414" stopIfTrue="1" operator="equal">
      <formula>0</formula>
    </cfRule>
  </conditionalFormatting>
  <conditionalFormatting sqref="D26:H26 N26:X26">
    <cfRule type="cellIs" dxfId="413" priority="411" stopIfTrue="1" operator="equal">
      <formula>0</formula>
    </cfRule>
  </conditionalFormatting>
  <conditionalFormatting sqref="K26:M26 E26:H26">
    <cfRule type="expression" dxfId="412" priority="412" stopIfTrue="1">
      <formula>ISERROR</formula>
    </cfRule>
  </conditionalFormatting>
  <conditionalFormatting sqref="K26:M26 C26">
    <cfRule type="cellIs" dxfId="411" priority="413" stopIfTrue="1" operator="equal">
      <formula>0</formula>
    </cfRule>
  </conditionalFormatting>
  <conditionalFormatting sqref="L26">
    <cfRule type="cellIs" dxfId="410" priority="410" stopIfTrue="1" operator="equal">
      <formula>0</formula>
    </cfRule>
  </conditionalFormatting>
  <conditionalFormatting sqref="I26:J26">
    <cfRule type="expression" dxfId="409" priority="409" stopIfTrue="1">
      <formula>ISERROR</formula>
    </cfRule>
  </conditionalFormatting>
  <conditionalFormatting sqref="I26:J26">
    <cfRule type="cellIs" dxfId="408" priority="408" stopIfTrue="1" operator="equal">
      <formula>0</formula>
    </cfRule>
  </conditionalFormatting>
  <conditionalFormatting sqref="X27">
    <cfRule type="cellIs" dxfId="407" priority="407" stopIfTrue="1" operator="equal">
      <formula>0</formula>
    </cfRule>
  </conditionalFormatting>
  <conditionalFormatting sqref="D27:H27 L27 N27:W27">
    <cfRule type="cellIs" dxfId="406" priority="404" stopIfTrue="1" operator="equal">
      <formula>0</formula>
    </cfRule>
  </conditionalFormatting>
  <conditionalFormatting sqref="E27:F27">
    <cfRule type="expression" dxfId="405" priority="405" stopIfTrue="1">
      <formula>ISERROR</formula>
    </cfRule>
  </conditionalFormatting>
  <conditionalFormatting sqref="M27 C27">
    <cfRule type="cellIs" dxfId="404" priority="406" stopIfTrue="1" operator="equal">
      <formula>0</formula>
    </cfRule>
  </conditionalFormatting>
  <conditionalFormatting sqref="I27:J27">
    <cfRule type="expression" dxfId="403" priority="403" stopIfTrue="1">
      <formula>ISERROR</formula>
    </cfRule>
  </conditionalFormatting>
  <conditionalFormatting sqref="I27:J27">
    <cfRule type="cellIs" dxfId="402" priority="402" stopIfTrue="1" operator="equal">
      <formula>0</formula>
    </cfRule>
  </conditionalFormatting>
  <conditionalFormatting sqref="N28:X28 L28 D28:J28">
    <cfRule type="cellIs" dxfId="401" priority="400" stopIfTrue="1" operator="equal">
      <formula>0</formula>
    </cfRule>
  </conditionalFormatting>
  <conditionalFormatting sqref="E28:K28 M28">
    <cfRule type="expression" dxfId="400" priority="399" stopIfTrue="1">
      <formula>ISERROR</formula>
    </cfRule>
  </conditionalFormatting>
  <conditionalFormatting sqref="M28 K28 C28">
    <cfRule type="cellIs" dxfId="399" priority="401" stopIfTrue="1" operator="equal">
      <formula>0</formula>
    </cfRule>
  </conditionalFormatting>
  <conditionalFormatting sqref="L28">
    <cfRule type="expression" dxfId="398" priority="398" stopIfTrue="1">
      <formula>ISERROR</formula>
    </cfRule>
  </conditionalFormatting>
  <conditionalFormatting sqref="I28">
    <cfRule type="expression" dxfId="397" priority="397" stopIfTrue="1">
      <formula>ISERROR</formula>
    </cfRule>
  </conditionalFormatting>
  <conditionalFormatting sqref="N29:X29 L29 D29:H29 J29">
    <cfRule type="cellIs" dxfId="396" priority="395" stopIfTrue="1" operator="equal">
      <formula>0</formula>
    </cfRule>
  </conditionalFormatting>
  <conditionalFormatting sqref="M29">
    <cfRule type="expression" dxfId="395" priority="394" stopIfTrue="1">
      <formula>ISERROR</formula>
    </cfRule>
  </conditionalFormatting>
  <conditionalFormatting sqref="J29">
    <cfRule type="expression" dxfId="394" priority="393" stopIfTrue="1">
      <formula>ISERROR</formula>
    </cfRule>
  </conditionalFormatting>
  <conditionalFormatting sqref="M29 C29">
    <cfRule type="cellIs" dxfId="393" priority="396" stopIfTrue="1" operator="equal">
      <formula>0</formula>
    </cfRule>
  </conditionalFormatting>
  <conditionalFormatting sqref="L29">
    <cfRule type="expression" dxfId="392" priority="392" stopIfTrue="1">
      <formula>ISERROR</formula>
    </cfRule>
  </conditionalFormatting>
  <conditionalFormatting sqref="I29">
    <cfRule type="expression" dxfId="391" priority="391" stopIfTrue="1">
      <formula>ISERROR</formula>
    </cfRule>
  </conditionalFormatting>
  <conditionalFormatting sqref="I29">
    <cfRule type="cellIs" dxfId="390" priority="390" stopIfTrue="1" operator="equal">
      <formula>0</formula>
    </cfRule>
  </conditionalFormatting>
  <conditionalFormatting sqref="I29">
    <cfRule type="cellIs" dxfId="389" priority="389" stopIfTrue="1" operator="equal">
      <formula>0</formula>
    </cfRule>
  </conditionalFormatting>
  <conditionalFormatting sqref="D30:H30 J30:X30">
    <cfRule type="cellIs" dxfId="388" priority="387" stopIfTrue="1" operator="equal">
      <formula>0</formula>
    </cfRule>
  </conditionalFormatting>
  <conditionalFormatting sqref="M30 E30:H30 J30:K30">
    <cfRule type="expression" dxfId="387" priority="386" stopIfTrue="1">
      <formula>ISERROR</formula>
    </cfRule>
  </conditionalFormatting>
  <conditionalFormatting sqref="C30">
    <cfRule type="cellIs" dxfId="386" priority="388" stopIfTrue="1" operator="equal">
      <formula>0</formula>
    </cfRule>
  </conditionalFormatting>
  <conditionalFormatting sqref="L30">
    <cfRule type="expression" dxfId="385" priority="385" stopIfTrue="1">
      <formula>ISERROR</formula>
    </cfRule>
  </conditionalFormatting>
  <conditionalFormatting sqref="I30">
    <cfRule type="expression" dxfId="384" priority="384" stopIfTrue="1">
      <formula>ISERROR</formula>
    </cfRule>
  </conditionalFormatting>
  <conditionalFormatting sqref="I30">
    <cfRule type="cellIs" dxfId="383" priority="383" stopIfTrue="1" operator="equal">
      <formula>0</formula>
    </cfRule>
  </conditionalFormatting>
  <conditionalFormatting sqref="I30">
    <cfRule type="cellIs" dxfId="382" priority="382" stopIfTrue="1" operator="equal">
      <formula>0</formula>
    </cfRule>
  </conditionalFormatting>
  <conditionalFormatting sqref="D31:H31 J31:X31">
    <cfRule type="cellIs" dxfId="381" priority="380" stopIfTrue="1" operator="equal">
      <formula>0</formula>
    </cfRule>
  </conditionalFormatting>
  <conditionalFormatting sqref="M31 E31:H31 J31:K31">
    <cfRule type="expression" dxfId="380" priority="379" stopIfTrue="1">
      <formula>ISERROR</formula>
    </cfRule>
  </conditionalFormatting>
  <conditionalFormatting sqref="C31">
    <cfRule type="cellIs" dxfId="379" priority="381" stopIfTrue="1" operator="equal">
      <formula>0</formula>
    </cfRule>
  </conditionalFormatting>
  <conditionalFormatting sqref="L31">
    <cfRule type="expression" dxfId="378" priority="378" stopIfTrue="1">
      <formula>ISERROR</formula>
    </cfRule>
  </conditionalFormatting>
  <conditionalFormatting sqref="I31">
    <cfRule type="expression" dxfId="377" priority="377" stopIfTrue="1">
      <formula>ISERROR</formula>
    </cfRule>
  </conditionalFormatting>
  <conditionalFormatting sqref="I31">
    <cfRule type="cellIs" dxfId="376" priority="376" stopIfTrue="1" operator="equal">
      <formula>0</formula>
    </cfRule>
  </conditionalFormatting>
  <conditionalFormatting sqref="I31">
    <cfRule type="cellIs" dxfId="375" priority="375" stopIfTrue="1" operator="equal">
      <formula>0</formula>
    </cfRule>
  </conditionalFormatting>
  <conditionalFormatting sqref="K32:X32 D32:H32">
    <cfRule type="cellIs" dxfId="374" priority="373" stopIfTrue="1" operator="equal">
      <formula>0</formula>
    </cfRule>
  </conditionalFormatting>
  <conditionalFormatting sqref="E32:H32 K32:M32">
    <cfRule type="expression" dxfId="373" priority="372" stopIfTrue="1">
      <formula>ISERROR</formula>
    </cfRule>
  </conditionalFormatting>
  <conditionalFormatting sqref="C32">
    <cfRule type="cellIs" dxfId="372" priority="374" stopIfTrue="1" operator="equal">
      <formula>0</formula>
    </cfRule>
  </conditionalFormatting>
  <conditionalFormatting sqref="L32">
    <cfRule type="cellIs" dxfId="371" priority="371" stopIfTrue="1" operator="equal">
      <formula>0</formula>
    </cfRule>
  </conditionalFormatting>
  <conditionalFormatting sqref="I32:J32">
    <cfRule type="expression" dxfId="370" priority="370" stopIfTrue="1">
      <formula>ISERROR</formula>
    </cfRule>
  </conditionalFormatting>
  <conditionalFormatting sqref="I32:J32">
    <cfRule type="cellIs" dxfId="369" priority="369" stopIfTrue="1" operator="equal">
      <formula>0</formula>
    </cfRule>
  </conditionalFormatting>
  <conditionalFormatting sqref="D33:X33">
    <cfRule type="cellIs" dxfId="368" priority="367" stopIfTrue="1" operator="equal">
      <formula>0</formula>
    </cfRule>
  </conditionalFormatting>
  <conditionalFormatting sqref="E33:M33">
    <cfRule type="expression" dxfId="367" priority="366" stopIfTrue="1">
      <formula>ISERROR</formula>
    </cfRule>
  </conditionalFormatting>
  <conditionalFormatting sqref="C33">
    <cfRule type="cellIs" dxfId="366" priority="368" stopIfTrue="1" operator="equal">
      <formula>0</formula>
    </cfRule>
  </conditionalFormatting>
  <conditionalFormatting sqref="L33">
    <cfRule type="cellIs" dxfId="365" priority="365" stopIfTrue="1" operator="equal">
      <formula>0</formula>
    </cfRule>
  </conditionalFormatting>
  <conditionalFormatting sqref="L33">
    <cfRule type="expression" dxfId="364" priority="364" stopIfTrue="1">
      <formula>ISERROR</formula>
    </cfRule>
  </conditionalFormatting>
  <conditionalFormatting sqref="I33">
    <cfRule type="expression" dxfId="363" priority="363" stopIfTrue="1">
      <formula>ISERROR</formula>
    </cfRule>
  </conditionalFormatting>
  <conditionalFormatting sqref="N34:X34 L34">
    <cfRule type="cellIs" dxfId="362" priority="361" stopIfTrue="1" operator="equal">
      <formula>0</formula>
    </cfRule>
  </conditionalFormatting>
  <conditionalFormatting sqref="E34:H34 K34:M34">
    <cfRule type="expression" dxfId="361" priority="358" stopIfTrue="1">
      <formula>ISERROR</formula>
    </cfRule>
  </conditionalFormatting>
  <conditionalFormatting sqref="L34">
    <cfRule type="expression" dxfId="360" priority="360" stopIfTrue="1">
      <formula>ISERROR</formula>
    </cfRule>
  </conditionalFormatting>
  <conditionalFormatting sqref="K34:M34 C34">
    <cfRule type="cellIs" dxfId="359" priority="362" stopIfTrue="1" operator="equal">
      <formula>0</formula>
    </cfRule>
  </conditionalFormatting>
  <conditionalFormatting sqref="D34:H34 L34">
    <cfRule type="cellIs" dxfId="358" priority="359" stopIfTrue="1" operator="equal">
      <formula>0</formula>
    </cfRule>
  </conditionalFormatting>
  <conditionalFormatting sqref="L34">
    <cfRule type="expression" dxfId="357" priority="357" stopIfTrue="1">
      <formula>ISERROR</formula>
    </cfRule>
  </conditionalFormatting>
  <conditionalFormatting sqref="I34">
    <cfRule type="expression" dxfId="356" priority="356" stopIfTrue="1">
      <formula>ISERROR</formula>
    </cfRule>
  </conditionalFormatting>
  <conditionalFormatting sqref="I34">
    <cfRule type="cellIs" dxfId="355" priority="355" stopIfTrue="1" operator="equal">
      <formula>0</formula>
    </cfRule>
  </conditionalFormatting>
  <conditionalFormatting sqref="I34">
    <cfRule type="cellIs" dxfId="354" priority="354" stopIfTrue="1" operator="equal">
      <formula>0</formula>
    </cfRule>
  </conditionalFormatting>
  <conditionalFormatting sqref="N35:X35 L35">
    <cfRule type="cellIs" dxfId="353" priority="352" stopIfTrue="1" operator="equal">
      <formula>0</formula>
    </cfRule>
  </conditionalFormatting>
  <conditionalFormatting sqref="L35">
    <cfRule type="expression" dxfId="352" priority="349" stopIfTrue="1">
      <formula>ISERROR</formula>
    </cfRule>
  </conditionalFormatting>
  <conditionalFormatting sqref="L35">
    <cfRule type="expression" dxfId="351" priority="351" stopIfTrue="1">
      <formula>ISERROR</formula>
    </cfRule>
  </conditionalFormatting>
  <conditionalFormatting sqref="E35:H35 J35:M35">
    <cfRule type="expression" dxfId="350" priority="348" stopIfTrue="1">
      <formula>ISERROR</formula>
    </cfRule>
  </conditionalFormatting>
  <conditionalFormatting sqref="C35:H35 J35:M35">
    <cfRule type="cellIs" dxfId="349" priority="353" stopIfTrue="1" operator="equal">
      <formula>0</formula>
    </cfRule>
  </conditionalFormatting>
  <conditionalFormatting sqref="L35">
    <cfRule type="cellIs" dxfId="348" priority="350" stopIfTrue="1" operator="equal">
      <formula>0</formula>
    </cfRule>
  </conditionalFormatting>
  <conditionalFormatting sqref="L35">
    <cfRule type="expression" dxfId="347" priority="347" stopIfTrue="1">
      <formula>ISERROR</formula>
    </cfRule>
  </conditionalFormatting>
  <conditionalFormatting sqref="I35">
    <cfRule type="expression" dxfId="346" priority="346" stopIfTrue="1">
      <formula>ISERROR</formula>
    </cfRule>
  </conditionalFormatting>
  <conditionalFormatting sqref="I35">
    <cfRule type="cellIs" dxfId="345" priority="345" stopIfTrue="1" operator="equal">
      <formula>0</formula>
    </cfRule>
  </conditionalFormatting>
  <conditionalFormatting sqref="C36 E36:F36 I36:M36">
    <cfRule type="expression" dxfId="344" priority="344" stopIfTrue="1">
      <formula>ISERROR</formula>
    </cfRule>
  </conditionalFormatting>
  <conditionalFormatting sqref="N36:X36">
    <cfRule type="cellIs" dxfId="343" priority="342" stopIfTrue="1" operator="equal">
      <formula>0</formula>
    </cfRule>
  </conditionalFormatting>
  <conditionalFormatting sqref="C36:M36">
    <cfRule type="cellIs" dxfId="342" priority="343" stopIfTrue="1" operator="equal">
      <formula>0</formula>
    </cfRule>
  </conditionalFormatting>
  <conditionalFormatting sqref="L36">
    <cfRule type="cellIs" dxfId="341" priority="341" stopIfTrue="1" operator="equal">
      <formula>0</formula>
    </cfRule>
  </conditionalFormatting>
  <conditionalFormatting sqref="L36">
    <cfRule type="expression" dxfId="340" priority="340" stopIfTrue="1">
      <formula>ISERROR</formula>
    </cfRule>
  </conditionalFormatting>
  <conditionalFormatting sqref="G36:H36">
    <cfRule type="expression" dxfId="339" priority="339" stopIfTrue="1">
      <formula>ISERROR</formula>
    </cfRule>
  </conditionalFormatting>
  <conditionalFormatting sqref="C37 E37:F37 I37:M37">
    <cfRule type="expression" dxfId="338" priority="338" stopIfTrue="1">
      <formula>ISERROR</formula>
    </cfRule>
  </conditionalFormatting>
  <conditionalFormatting sqref="N37:X37">
    <cfRule type="cellIs" dxfId="337" priority="336" stopIfTrue="1" operator="equal">
      <formula>0</formula>
    </cfRule>
  </conditionalFormatting>
  <conditionalFormatting sqref="C37:M37">
    <cfRule type="cellIs" dxfId="336" priority="337" stopIfTrue="1" operator="equal">
      <formula>0</formula>
    </cfRule>
  </conditionalFormatting>
  <conditionalFormatting sqref="L37">
    <cfRule type="cellIs" dxfId="335" priority="335" stopIfTrue="1" operator="equal">
      <formula>0</formula>
    </cfRule>
  </conditionalFormatting>
  <conditionalFormatting sqref="L37">
    <cfRule type="expression" dxfId="334" priority="334" stopIfTrue="1">
      <formula>ISERROR</formula>
    </cfRule>
  </conditionalFormatting>
  <conditionalFormatting sqref="G37:H37">
    <cfRule type="expression" dxfId="333" priority="333" stopIfTrue="1">
      <formula>ISERROR</formula>
    </cfRule>
  </conditionalFormatting>
  <conditionalFormatting sqref="X38">
    <cfRule type="cellIs" dxfId="332" priority="332" stopIfTrue="1" operator="equal">
      <formula>0</formula>
    </cfRule>
  </conditionalFormatting>
  <conditionalFormatting sqref="C38 E38:M38">
    <cfRule type="expression" dxfId="331" priority="331" stopIfTrue="1">
      <formula>ISERROR</formula>
    </cfRule>
  </conditionalFormatting>
  <conditionalFormatting sqref="C38:W38">
    <cfRule type="cellIs" dxfId="330" priority="330" stopIfTrue="1" operator="equal">
      <formula>0</formula>
    </cfRule>
  </conditionalFormatting>
  <conditionalFormatting sqref="L38">
    <cfRule type="expression" dxfId="329" priority="329" stopIfTrue="1">
      <formula>ISERROR</formula>
    </cfRule>
  </conditionalFormatting>
  <conditionalFormatting sqref="X39">
    <cfRule type="cellIs" dxfId="328" priority="328" stopIfTrue="1" operator="equal">
      <formula>0</formula>
    </cfRule>
  </conditionalFormatting>
  <conditionalFormatting sqref="C39 E39:M39">
    <cfRule type="expression" dxfId="327" priority="327" stopIfTrue="1">
      <formula>ISERROR</formula>
    </cfRule>
  </conditionalFormatting>
  <conditionalFormatting sqref="C39:W39">
    <cfRule type="cellIs" dxfId="326" priority="326" stopIfTrue="1" operator="equal">
      <formula>0</formula>
    </cfRule>
  </conditionalFormatting>
  <conditionalFormatting sqref="L39">
    <cfRule type="expression" dxfId="325" priority="325" stopIfTrue="1">
      <formula>ISERROR</formula>
    </cfRule>
  </conditionalFormatting>
  <conditionalFormatting sqref="X40">
    <cfRule type="cellIs" dxfId="324" priority="324" stopIfTrue="1" operator="equal">
      <formula>0</formula>
    </cfRule>
  </conditionalFormatting>
  <conditionalFormatting sqref="L40">
    <cfRule type="expression" dxfId="323" priority="323" stopIfTrue="1">
      <formula>ISERROR</formula>
    </cfRule>
  </conditionalFormatting>
  <conditionalFormatting sqref="L40">
    <cfRule type="cellIs" dxfId="322" priority="322" stopIfTrue="1" operator="equal">
      <formula>0</formula>
    </cfRule>
  </conditionalFormatting>
  <conditionalFormatting sqref="L40">
    <cfRule type="expression" dxfId="321" priority="321" stopIfTrue="1">
      <formula>ISERROR</formula>
    </cfRule>
  </conditionalFormatting>
  <conditionalFormatting sqref="C40 E40:K40 M40">
    <cfRule type="expression" dxfId="320" priority="320" stopIfTrue="1">
      <formula>ISERROR</formula>
    </cfRule>
  </conditionalFormatting>
  <conditionalFormatting sqref="C40:K40 M40:W40">
    <cfRule type="cellIs" dxfId="319" priority="319" stopIfTrue="1" operator="equal">
      <formula>0</formula>
    </cfRule>
  </conditionalFormatting>
  <conditionalFormatting sqref="C41 E41:K41 M41">
    <cfRule type="expression" dxfId="318" priority="318" stopIfTrue="1">
      <formula>ISERROR</formula>
    </cfRule>
  </conditionalFormatting>
  <conditionalFormatting sqref="C41:K41 M41:X41">
    <cfRule type="cellIs" dxfId="317" priority="317" stopIfTrue="1" operator="equal">
      <formula>0</formula>
    </cfRule>
  </conditionalFormatting>
  <conditionalFormatting sqref="L41">
    <cfRule type="expression" dxfId="316" priority="316" stopIfTrue="1">
      <formula>ISERROR</formula>
    </cfRule>
  </conditionalFormatting>
  <conditionalFormatting sqref="L41">
    <cfRule type="cellIs" dxfId="315" priority="315" stopIfTrue="1" operator="equal">
      <formula>0</formula>
    </cfRule>
  </conditionalFormatting>
  <conditionalFormatting sqref="L41">
    <cfRule type="expression" dxfId="314" priority="314" stopIfTrue="1">
      <formula>ISERROR</formula>
    </cfRule>
  </conditionalFormatting>
  <conditionalFormatting sqref="C42 E42:K42 M42">
    <cfRule type="expression" dxfId="313" priority="313" stopIfTrue="1">
      <formula>ISERROR</formula>
    </cfRule>
  </conditionalFormatting>
  <conditionalFormatting sqref="C42:K42 M42:X42">
    <cfRule type="cellIs" dxfId="312" priority="312" stopIfTrue="1" operator="equal">
      <formula>0</formula>
    </cfRule>
  </conditionalFormatting>
  <conditionalFormatting sqref="L42">
    <cfRule type="expression" dxfId="311" priority="311" stopIfTrue="1">
      <formula>ISERROR</formula>
    </cfRule>
  </conditionalFormatting>
  <conditionalFormatting sqref="L42">
    <cfRule type="cellIs" dxfId="310" priority="310" stopIfTrue="1" operator="equal">
      <formula>0</formula>
    </cfRule>
  </conditionalFormatting>
  <conditionalFormatting sqref="L42">
    <cfRule type="expression" dxfId="309" priority="309" stopIfTrue="1">
      <formula>ISERROR</formula>
    </cfRule>
  </conditionalFormatting>
  <conditionalFormatting sqref="C43 E43:K43 M43">
    <cfRule type="expression" dxfId="308" priority="308" stopIfTrue="1">
      <formula>ISERROR</formula>
    </cfRule>
  </conditionalFormatting>
  <conditionalFormatting sqref="C43:K43 M43:X43">
    <cfRule type="cellIs" dxfId="307" priority="307" stopIfTrue="1" operator="equal">
      <formula>0</formula>
    </cfRule>
  </conditionalFormatting>
  <conditionalFormatting sqref="L43">
    <cfRule type="expression" dxfId="306" priority="306" stopIfTrue="1">
      <formula>ISERROR</formula>
    </cfRule>
  </conditionalFormatting>
  <conditionalFormatting sqref="L43">
    <cfRule type="cellIs" dxfId="305" priority="305" stopIfTrue="1" operator="equal">
      <formula>0</formula>
    </cfRule>
  </conditionalFormatting>
  <conditionalFormatting sqref="L43">
    <cfRule type="expression" dxfId="304" priority="304" stopIfTrue="1">
      <formula>ISERROR</formula>
    </cfRule>
  </conditionalFormatting>
  <conditionalFormatting sqref="C44 E44:K44 M44">
    <cfRule type="expression" dxfId="303" priority="303" stopIfTrue="1">
      <formula>ISERROR</formula>
    </cfRule>
  </conditionalFormatting>
  <conditionalFormatting sqref="C44:K44 M44:X44">
    <cfRule type="cellIs" dxfId="302" priority="302" stopIfTrue="1" operator="equal">
      <formula>0</formula>
    </cfRule>
  </conditionalFormatting>
  <conditionalFormatting sqref="L44">
    <cfRule type="expression" dxfId="301" priority="301" stopIfTrue="1">
      <formula>ISERROR</formula>
    </cfRule>
  </conditionalFormatting>
  <conditionalFormatting sqref="L44">
    <cfRule type="cellIs" dxfId="300" priority="300" stopIfTrue="1" operator="equal">
      <formula>0</formula>
    </cfRule>
  </conditionalFormatting>
  <conditionalFormatting sqref="L44">
    <cfRule type="expression" dxfId="299" priority="299" stopIfTrue="1">
      <formula>ISERROR</formula>
    </cfRule>
  </conditionalFormatting>
  <conditionalFormatting sqref="E45:J45 C45 L45:M45">
    <cfRule type="expression" dxfId="298" priority="298" stopIfTrue="1">
      <formula>ISERROR</formula>
    </cfRule>
  </conditionalFormatting>
  <conditionalFormatting sqref="C45:J45 L45:X45">
    <cfRule type="cellIs" dxfId="297" priority="297" stopIfTrue="1" operator="equal">
      <formula>0</formula>
    </cfRule>
  </conditionalFormatting>
  <conditionalFormatting sqref="L45">
    <cfRule type="expression" dxfId="296" priority="293" stopIfTrue="1">
      <formula>ISERROR</formula>
    </cfRule>
  </conditionalFormatting>
  <conditionalFormatting sqref="L45">
    <cfRule type="expression" dxfId="295" priority="295" stopIfTrue="1">
      <formula>ISERROR</formula>
    </cfRule>
  </conditionalFormatting>
  <conditionalFormatting sqref="L45">
    <cfRule type="cellIs" dxfId="294" priority="296" stopIfTrue="1" operator="equal">
      <formula>0</formula>
    </cfRule>
  </conditionalFormatting>
  <conditionalFormatting sqref="L45">
    <cfRule type="cellIs" dxfId="293" priority="294" stopIfTrue="1" operator="equal">
      <formula>0</formula>
    </cfRule>
  </conditionalFormatting>
  <conditionalFormatting sqref="L45">
    <cfRule type="expression" dxfId="292" priority="292" stopIfTrue="1">
      <formula>ISERROR</formula>
    </cfRule>
  </conditionalFormatting>
  <conditionalFormatting sqref="K45">
    <cfRule type="cellIs" dxfId="291" priority="290" stopIfTrue="1" operator="equal">
      <formula>0</formula>
    </cfRule>
  </conditionalFormatting>
  <conditionalFormatting sqref="K45">
    <cfRule type="expression" dxfId="290" priority="291" stopIfTrue="1">
      <formula>ISERROR</formula>
    </cfRule>
  </conditionalFormatting>
  <conditionalFormatting sqref="X46">
    <cfRule type="cellIs" dxfId="289" priority="289" stopIfTrue="1" operator="equal">
      <formula>0</formula>
    </cfRule>
  </conditionalFormatting>
  <conditionalFormatting sqref="C46 M46 E46:K46">
    <cfRule type="expression" dxfId="288" priority="288" stopIfTrue="1">
      <formula>ISERROR</formula>
    </cfRule>
  </conditionalFormatting>
  <conditionalFormatting sqref="M46:W46 C46:K46">
    <cfRule type="cellIs" dxfId="287" priority="287" stopIfTrue="1" operator="equal">
      <formula>0</formula>
    </cfRule>
  </conditionalFormatting>
  <conditionalFormatting sqref="L46">
    <cfRule type="expression" dxfId="286" priority="286" stopIfTrue="1">
      <formula>ISERROR</formula>
    </cfRule>
  </conditionalFormatting>
  <conditionalFormatting sqref="L46">
    <cfRule type="cellIs" dxfId="285" priority="285" stopIfTrue="1" operator="equal">
      <formula>0</formula>
    </cfRule>
  </conditionalFormatting>
  <conditionalFormatting sqref="L46">
    <cfRule type="expression" dxfId="284" priority="284" stopIfTrue="1">
      <formula>ISERROR</formula>
    </cfRule>
  </conditionalFormatting>
  <conditionalFormatting sqref="C47">
    <cfRule type="expression" dxfId="283" priority="283" stopIfTrue="1">
      <formula>ISERROR</formula>
    </cfRule>
  </conditionalFormatting>
  <conditionalFormatting sqref="X47">
    <cfRule type="cellIs" dxfId="282" priority="281" stopIfTrue="1" operator="equal">
      <formula>0</formula>
    </cfRule>
  </conditionalFormatting>
  <conditionalFormatting sqref="D47">
    <cfRule type="cellIs" dxfId="281" priority="282" stopIfTrue="1" operator="equal">
      <formula>0</formula>
    </cfRule>
  </conditionalFormatting>
  <conditionalFormatting sqref="M47 E47:F47">
    <cfRule type="expression" dxfId="280" priority="280" stopIfTrue="1">
      <formula>ISERROR</formula>
    </cfRule>
  </conditionalFormatting>
  <conditionalFormatting sqref="E47:F47 M47:W47">
    <cfRule type="cellIs" dxfId="279" priority="279" stopIfTrue="1" operator="equal">
      <formula>0</formula>
    </cfRule>
  </conditionalFormatting>
  <conditionalFormatting sqref="C47">
    <cfRule type="cellIs" dxfId="278" priority="278" stopIfTrue="1" operator="equal">
      <formula>0</formula>
    </cfRule>
  </conditionalFormatting>
  <conditionalFormatting sqref="L47">
    <cfRule type="expression" dxfId="277" priority="277" stopIfTrue="1">
      <formula>ISERROR</formula>
    </cfRule>
  </conditionalFormatting>
  <conditionalFormatting sqref="L47">
    <cfRule type="cellIs" dxfId="276" priority="276" stopIfTrue="1" operator="equal">
      <formula>0</formula>
    </cfRule>
  </conditionalFormatting>
  <conditionalFormatting sqref="G47:K47">
    <cfRule type="expression" dxfId="275" priority="275" stopIfTrue="1">
      <formula>ISERROR</formula>
    </cfRule>
  </conditionalFormatting>
  <conditionalFormatting sqref="G47:K47">
    <cfRule type="cellIs" dxfId="274" priority="274" stopIfTrue="1" operator="equal">
      <formula>0</formula>
    </cfRule>
  </conditionalFormatting>
  <conditionalFormatting sqref="E48:M48 C48">
    <cfRule type="expression" dxfId="273" priority="273" stopIfTrue="1">
      <formula>ISERROR</formula>
    </cfRule>
  </conditionalFormatting>
  <conditionalFormatting sqref="C48:X48">
    <cfRule type="cellIs" dxfId="272" priority="272" stopIfTrue="1" operator="equal">
      <formula>0</formula>
    </cfRule>
  </conditionalFormatting>
  <conditionalFormatting sqref="E49:M49 C49">
    <cfRule type="expression" dxfId="271" priority="271" stopIfTrue="1">
      <formula>ISERROR</formula>
    </cfRule>
  </conditionalFormatting>
  <conditionalFormatting sqref="C49:X49">
    <cfRule type="cellIs" dxfId="270" priority="270" stopIfTrue="1" operator="equal">
      <formula>0</formula>
    </cfRule>
  </conditionalFormatting>
  <conditionalFormatting sqref="E50:M50 C50">
    <cfRule type="expression" dxfId="269" priority="269" stopIfTrue="1">
      <formula>ISERROR</formula>
    </cfRule>
  </conditionalFormatting>
  <conditionalFormatting sqref="C50:X50">
    <cfRule type="cellIs" dxfId="268" priority="268" stopIfTrue="1" operator="equal">
      <formula>0</formula>
    </cfRule>
  </conditionalFormatting>
  <conditionalFormatting sqref="L50">
    <cfRule type="cellIs" dxfId="267" priority="267" stopIfTrue="1" operator="equal">
      <formula>0</formula>
    </cfRule>
  </conditionalFormatting>
  <conditionalFormatting sqref="L50">
    <cfRule type="cellIs" dxfId="266" priority="266" stopIfTrue="1" operator="equal">
      <formula>0</formula>
    </cfRule>
  </conditionalFormatting>
  <conditionalFormatting sqref="L50">
    <cfRule type="expression" dxfId="265" priority="265" stopIfTrue="1">
      <formula>ISERROR</formula>
    </cfRule>
  </conditionalFormatting>
  <conditionalFormatting sqref="E51:M51 C51">
    <cfRule type="expression" dxfId="264" priority="264" stopIfTrue="1">
      <formula>ISERROR</formula>
    </cfRule>
  </conditionalFormatting>
  <conditionalFormatting sqref="C51:X51">
    <cfRule type="cellIs" dxfId="263" priority="263" stopIfTrue="1" operator="equal">
      <formula>0</formula>
    </cfRule>
  </conditionalFormatting>
  <conditionalFormatting sqref="E52:M52 C52">
    <cfRule type="expression" dxfId="262" priority="262" stopIfTrue="1">
      <formula>ISERROR</formula>
    </cfRule>
  </conditionalFormatting>
  <conditionalFormatting sqref="C52:X52">
    <cfRule type="cellIs" dxfId="261" priority="261" stopIfTrue="1" operator="equal">
      <formula>0</formula>
    </cfRule>
  </conditionalFormatting>
  <conditionalFormatting sqref="E53:K53 M53 C53">
    <cfRule type="expression" dxfId="260" priority="260" stopIfTrue="1">
      <formula>ISERROR</formula>
    </cfRule>
  </conditionalFormatting>
  <conditionalFormatting sqref="C53:K53 M53:X53">
    <cfRule type="cellIs" dxfId="259" priority="259" stopIfTrue="1" operator="equal">
      <formula>0</formula>
    </cfRule>
  </conditionalFormatting>
  <conditionalFormatting sqref="L53">
    <cfRule type="expression" dxfId="258" priority="258" stopIfTrue="1">
      <formula>ISERROR</formula>
    </cfRule>
  </conditionalFormatting>
  <conditionalFormatting sqref="L53">
    <cfRule type="cellIs" dxfId="257" priority="257" stopIfTrue="1" operator="equal">
      <formula>0</formula>
    </cfRule>
  </conditionalFormatting>
  <conditionalFormatting sqref="L53">
    <cfRule type="expression" dxfId="256" priority="256" stopIfTrue="1">
      <formula>ISERROR</formula>
    </cfRule>
  </conditionalFormatting>
  <conditionalFormatting sqref="E54:M54 C54">
    <cfRule type="expression" dxfId="255" priority="255" stopIfTrue="1">
      <formula>ISERROR</formula>
    </cfRule>
  </conditionalFormatting>
  <conditionalFormatting sqref="C54:X54">
    <cfRule type="cellIs" dxfId="254" priority="254" stopIfTrue="1" operator="equal">
      <formula>0</formula>
    </cfRule>
  </conditionalFormatting>
  <conditionalFormatting sqref="E55:M55 C55">
    <cfRule type="expression" dxfId="253" priority="253" stopIfTrue="1">
      <formula>ISERROR</formula>
    </cfRule>
  </conditionalFormatting>
  <conditionalFormatting sqref="C55:X55">
    <cfRule type="cellIs" dxfId="252" priority="252" stopIfTrue="1" operator="equal">
      <formula>0</formula>
    </cfRule>
  </conditionalFormatting>
  <conditionalFormatting sqref="E56:M56 C56">
    <cfRule type="expression" dxfId="251" priority="251" stopIfTrue="1">
      <formula>ISERROR</formula>
    </cfRule>
  </conditionalFormatting>
  <conditionalFormatting sqref="C56:X56">
    <cfRule type="cellIs" dxfId="250" priority="250" stopIfTrue="1" operator="equal">
      <formula>0</formula>
    </cfRule>
  </conditionalFormatting>
  <conditionalFormatting sqref="E57:K57 M57 C57">
    <cfRule type="expression" dxfId="249" priority="249" stopIfTrue="1">
      <formula>ISERROR</formula>
    </cfRule>
  </conditionalFormatting>
  <conditionalFormatting sqref="C57:K57 M57:X57">
    <cfRule type="cellIs" dxfId="248" priority="248" stopIfTrue="1" operator="equal">
      <formula>0</formula>
    </cfRule>
  </conditionalFormatting>
  <conditionalFormatting sqref="L57">
    <cfRule type="expression" dxfId="247" priority="247" stopIfTrue="1">
      <formula>ISERROR</formula>
    </cfRule>
  </conditionalFormatting>
  <conditionalFormatting sqref="L57">
    <cfRule type="cellIs" dxfId="246" priority="246" stopIfTrue="1" operator="equal">
      <formula>0</formula>
    </cfRule>
  </conditionalFormatting>
  <conditionalFormatting sqref="L57">
    <cfRule type="expression" dxfId="245" priority="245" stopIfTrue="1">
      <formula>ISERROR</formula>
    </cfRule>
  </conditionalFormatting>
  <conditionalFormatting sqref="E58:K58 M58 C58">
    <cfRule type="expression" dxfId="244" priority="244" stopIfTrue="1">
      <formula>ISERROR</formula>
    </cfRule>
  </conditionalFormatting>
  <conditionalFormatting sqref="C58:K58 M58:X58">
    <cfRule type="cellIs" dxfId="243" priority="243" stopIfTrue="1" operator="equal">
      <formula>0</formula>
    </cfRule>
  </conditionalFormatting>
  <conditionalFormatting sqref="L58">
    <cfRule type="expression" dxfId="242" priority="242" stopIfTrue="1">
      <formula>ISERROR</formula>
    </cfRule>
  </conditionalFormatting>
  <conditionalFormatting sqref="L58">
    <cfRule type="cellIs" dxfId="241" priority="241" stopIfTrue="1" operator="equal">
      <formula>0</formula>
    </cfRule>
  </conditionalFormatting>
  <conditionalFormatting sqref="L58">
    <cfRule type="expression" dxfId="240" priority="240" stopIfTrue="1">
      <formula>ISERROR</formula>
    </cfRule>
  </conditionalFormatting>
  <conditionalFormatting sqref="E59:K59 M59 C59">
    <cfRule type="expression" dxfId="239" priority="239" stopIfTrue="1">
      <formula>ISERROR</formula>
    </cfRule>
  </conditionalFormatting>
  <conditionalFormatting sqref="C59:K59 M59:X59">
    <cfRule type="cellIs" dxfId="238" priority="238" stopIfTrue="1" operator="equal">
      <formula>0</formula>
    </cfRule>
  </conditionalFormatting>
  <conditionalFormatting sqref="L59">
    <cfRule type="expression" dxfId="237" priority="237" stopIfTrue="1">
      <formula>ISERROR</formula>
    </cfRule>
  </conditionalFormatting>
  <conditionalFormatting sqref="L59">
    <cfRule type="cellIs" dxfId="236" priority="236" stopIfTrue="1" operator="equal">
      <formula>0</formula>
    </cfRule>
  </conditionalFormatting>
  <conditionalFormatting sqref="L59">
    <cfRule type="expression" dxfId="235" priority="235" stopIfTrue="1">
      <formula>ISERROR</formula>
    </cfRule>
  </conditionalFormatting>
  <conditionalFormatting sqref="E60:K60 M60 C60">
    <cfRule type="expression" dxfId="234" priority="234" stopIfTrue="1">
      <formula>ISERROR</formula>
    </cfRule>
  </conditionalFormatting>
  <conditionalFormatting sqref="C60:K60 M60:X60">
    <cfRule type="cellIs" dxfId="233" priority="233" stopIfTrue="1" operator="equal">
      <formula>0</formula>
    </cfRule>
  </conditionalFormatting>
  <conditionalFormatting sqref="L60">
    <cfRule type="expression" dxfId="232" priority="232" stopIfTrue="1">
      <formula>ISERROR</formula>
    </cfRule>
  </conditionalFormatting>
  <conditionalFormatting sqref="L60">
    <cfRule type="cellIs" dxfId="231" priority="231" stopIfTrue="1" operator="equal">
      <formula>0</formula>
    </cfRule>
  </conditionalFormatting>
  <conditionalFormatting sqref="L60">
    <cfRule type="expression" dxfId="230" priority="230" stopIfTrue="1">
      <formula>ISERROR</formula>
    </cfRule>
  </conditionalFormatting>
  <conditionalFormatting sqref="E61:M61 C61">
    <cfRule type="expression" dxfId="229" priority="229" stopIfTrue="1">
      <formula>ISERROR</formula>
    </cfRule>
  </conditionalFormatting>
  <conditionalFormatting sqref="C61:X61">
    <cfRule type="cellIs" dxfId="228" priority="228" stopIfTrue="1" operator="equal">
      <formula>0</formula>
    </cfRule>
  </conditionalFormatting>
  <conditionalFormatting sqref="E62:K62 M62 C62">
    <cfRule type="expression" dxfId="227" priority="227" stopIfTrue="1">
      <formula>ISERROR</formula>
    </cfRule>
  </conditionalFormatting>
  <conditionalFormatting sqref="C62:K62 M62:X62">
    <cfRule type="cellIs" dxfId="226" priority="226" stopIfTrue="1" operator="equal">
      <formula>0</formula>
    </cfRule>
  </conditionalFormatting>
  <conditionalFormatting sqref="L62">
    <cfRule type="expression" dxfId="225" priority="225" stopIfTrue="1">
      <formula>ISERROR</formula>
    </cfRule>
  </conditionalFormatting>
  <conditionalFormatting sqref="L62">
    <cfRule type="cellIs" dxfId="224" priority="224" stopIfTrue="1" operator="equal">
      <formula>0</formula>
    </cfRule>
  </conditionalFormatting>
  <conditionalFormatting sqref="L62">
    <cfRule type="expression" dxfId="223" priority="223" stopIfTrue="1">
      <formula>ISERROR</formula>
    </cfRule>
  </conditionalFormatting>
  <conditionalFormatting sqref="E63:K63 M63 C63">
    <cfRule type="expression" dxfId="222" priority="222" stopIfTrue="1">
      <formula>ISERROR</formula>
    </cfRule>
  </conditionalFormatting>
  <conditionalFormatting sqref="C63:K63 M63:X63">
    <cfRule type="cellIs" dxfId="221" priority="221" stopIfTrue="1" operator="equal">
      <formula>0</formula>
    </cfRule>
  </conditionalFormatting>
  <conditionalFormatting sqref="L63">
    <cfRule type="expression" dxfId="220" priority="220" stopIfTrue="1">
      <formula>ISERROR</formula>
    </cfRule>
  </conditionalFormatting>
  <conditionalFormatting sqref="L63">
    <cfRule type="cellIs" dxfId="219" priority="219" stopIfTrue="1" operator="equal">
      <formula>0</formula>
    </cfRule>
  </conditionalFormatting>
  <conditionalFormatting sqref="L63">
    <cfRule type="expression" dxfId="218" priority="218" stopIfTrue="1">
      <formula>ISERROR</formula>
    </cfRule>
  </conditionalFormatting>
  <conditionalFormatting sqref="E64:M64 C64">
    <cfRule type="expression" dxfId="217" priority="217" stopIfTrue="1">
      <formula>ISERROR</formula>
    </cfRule>
  </conditionalFormatting>
  <conditionalFormatting sqref="C64:X64">
    <cfRule type="cellIs" dxfId="216" priority="216" stopIfTrue="1" operator="equal">
      <formula>0</formula>
    </cfRule>
  </conditionalFormatting>
  <conditionalFormatting sqref="E65:K65 M65 C65">
    <cfRule type="expression" dxfId="215" priority="215" stopIfTrue="1">
      <formula>ISERROR</formula>
    </cfRule>
  </conditionalFormatting>
  <conditionalFormatting sqref="C65:K65 M65:X65">
    <cfRule type="cellIs" dxfId="214" priority="214" stopIfTrue="1" operator="equal">
      <formula>0</formula>
    </cfRule>
  </conditionalFormatting>
  <conditionalFormatting sqref="L65">
    <cfRule type="expression" dxfId="213" priority="213" stopIfTrue="1">
      <formula>ISERROR</formula>
    </cfRule>
  </conditionalFormatting>
  <conditionalFormatting sqref="L65">
    <cfRule type="cellIs" dxfId="212" priority="212" stopIfTrue="1" operator="equal">
      <formula>0</formula>
    </cfRule>
  </conditionalFormatting>
  <conditionalFormatting sqref="L65">
    <cfRule type="expression" dxfId="211" priority="211" stopIfTrue="1">
      <formula>ISERROR</formula>
    </cfRule>
  </conditionalFormatting>
  <conditionalFormatting sqref="E66:M66 C66">
    <cfRule type="expression" dxfId="210" priority="210" stopIfTrue="1">
      <formula>ISERROR</formula>
    </cfRule>
  </conditionalFormatting>
  <conditionalFormatting sqref="C66:X66">
    <cfRule type="cellIs" dxfId="209" priority="209" stopIfTrue="1" operator="equal">
      <formula>0</formula>
    </cfRule>
  </conditionalFormatting>
  <conditionalFormatting sqref="E67:M67 C67">
    <cfRule type="expression" dxfId="208" priority="208" stopIfTrue="1">
      <formula>ISERROR</formula>
    </cfRule>
  </conditionalFormatting>
  <conditionalFormatting sqref="C67:X67">
    <cfRule type="cellIs" dxfId="207" priority="207" stopIfTrue="1" operator="equal">
      <formula>0</formula>
    </cfRule>
  </conditionalFormatting>
  <conditionalFormatting sqref="E68:M68 C68">
    <cfRule type="expression" dxfId="206" priority="206" stopIfTrue="1">
      <formula>ISERROR</formula>
    </cfRule>
  </conditionalFormatting>
  <conditionalFormatting sqref="C68:X68">
    <cfRule type="cellIs" dxfId="205" priority="205" stopIfTrue="1" operator="equal">
      <formula>0</formula>
    </cfRule>
  </conditionalFormatting>
  <conditionalFormatting sqref="E69:F69 L69:M69 C69">
    <cfRule type="expression" dxfId="204" priority="204" stopIfTrue="1">
      <formula>ISERROR</formula>
    </cfRule>
  </conditionalFormatting>
  <conditionalFormatting sqref="C69:F69 L69:X69">
    <cfRule type="cellIs" dxfId="203" priority="203" stopIfTrue="1" operator="equal">
      <formula>0</formula>
    </cfRule>
  </conditionalFormatting>
  <conditionalFormatting sqref="G69:K69">
    <cfRule type="expression" dxfId="202" priority="202" stopIfTrue="1">
      <formula>ISERROR</formula>
    </cfRule>
  </conditionalFormatting>
  <conditionalFormatting sqref="G69:K69">
    <cfRule type="cellIs" dxfId="201" priority="201" stopIfTrue="1" operator="equal">
      <formula>0</formula>
    </cfRule>
  </conditionalFormatting>
  <conditionalFormatting sqref="E70:M70 C70">
    <cfRule type="expression" dxfId="200" priority="200" stopIfTrue="1">
      <formula>ISERROR</formula>
    </cfRule>
  </conditionalFormatting>
  <conditionalFormatting sqref="C70:X70">
    <cfRule type="cellIs" dxfId="199" priority="199" stopIfTrue="1" operator="equal">
      <formula>0</formula>
    </cfRule>
  </conditionalFormatting>
  <conditionalFormatting sqref="E71:M71 C71">
    <cfRule type="expression" dxfId="198" priority="198" stopIfTrue="1">
      <formula>ISERROR</formula>
    </cfRule>
  </conditionalFormatting>
  <conditionalFormatting sqref="C71:X71">
    <cfRule type="cellIs" dxfId="197" priority="197" stopIfTrue="1" operator="equal">
      <formula>0</formula>
    </cfRule>
  </conditionalFormatting>
  <conditionalFormatting sqref="E72:M72 C72">
    <cfRule type="expression" dxfId="196" priority="196" stopIfTrue="1">
      <formula>ISERROR</formula>
    </cfRule>
  </conditionalFormatting>
  <conditionalFormatting sqref="C72:X72">
    <cfRule type="cellIs" dxfId="195" priority="195" stopIfTrue="1" operator="equal">
      <formula>0</formula>
    </cfRule>
  </conditionalFormatting>
  <conditionalFormatting sqref="E73:M73 C73">
    <cfRule type="expression" dxfId="194" priority="194" stopIfTrue="1">
      <formula>ISERROR</formula>
    </cfRule>
  </conditionalFormatting>
  <conditionalFormatting sqref="C73:X73">
    <cfRule type="cellIs" dxfId="193" priority="193" stopIfTrue="1" operator="equal">
      <formula>0</formula>
    </cfRule>
  </conditionalFormatting>
  <conditionalFormatting sqref="E74:M74 C74">
    <cfRule type="expression" dxfId="192" priority="192" stopIfTrue="1">
      <formula>ISERROR</formula>
    </cfRule>
  </conditionalFormatting>
  <conditionalFormatting sqref="C74:X74">
    <cfRule type="cellIs" dxfId="191" priority="191" stopIfTrue="1" operator="equal">
      <formula>0</formula>
    </cfRule>
  </conditionalFormatting>
  <conditionalFormatting sqref="E75:M75 C75">
    <cfRule type="expression" dxfId="190" priority="190" stopIfTrue="1">
      <formula>ISERROR</formula>
    </cfRule>
  </conditionalFormatting>
  <conditionalFormatting sqref="C75:X75">
    <cfRule type="cellIs" dxfId="189" priority="189" stopIfTrue="1" operator="equal">
      <formula>0</formula>
    </cfRule>
  </conditionalFormatting>
  <conditionalFormatting sqref="E76:M76 C76">
    <cfRule type="expression" dxfId="188" priority="188" stopIfTrue="1">
      <formula>ISERROR</formula>
    </cfRule>
  </conditionalFormatting>
  <conditionalFormatting sqref="C76:X76">
    <cfRule type="cellIs" dxfId="187" priority="187" stopIfTrue="1" operator="equal">
      <formula>0</formula>
    </cfRule>
  </conditionalFormatting>
  <conditionalFormatting sqref="E77:M77 C77">
    <cfRule type="expression" dxfId="186" priority="186" stopIfTrue="1">
      <formula>ISERROR</formula>
    </cfRule>
  </conditionalFormatting>
  <conditionalFormatting sqref="C77:X77">
    <cfRule type="cellIs" dxfId="185" priority="185" stopIfTrue="1" operator="equal">
      <formula>0</formula>
    </cfRule>
  </conditionalFormatting>
  <conditionalFormatting sqref="E78:M78 C78">
    <cfRule type="expression" dxfId="184" priority="184" stopIfTrue="1">
      <formula>ISERROR</formula>
    </cfRule>
  </conditionalFormatting>
  <conditionalFormatting sqref="C78:X78">
    <cfRule type="cellIs" dxfId="183" priority="183" stopIfTrue="1" operator="equal">
      <formula>0</formula>
    </cfRule>
  </conditionalFormatting>
  <conditionalFormatting sqref="E79:M79 C79">
    <cfRule type="expression" dxfId="182" priority="182" stopIfTrue="1">
      <formula>ISERROR</formula>
    </cfRule>
  </conditionalFormatting>
  <conditionalFormatting sqref="C79:X79">
    <cfRule type="cellIs" dxfId="181" priority="181" stopIfTrue="1" operator="equal">
      <formula>0</formula>
    </cfRule>
  </conditionalFormatting>
  <conditionalFormatting sqref="E80:M80 C80">
    <cfRule type="expression" dxfId="180" priority="180" stopIfTrue="1">
      <formula>ISERROR</formula>
    </cfRule>
  </conditionalFormatting>
  <conditionalFormatting sqref="C80:X80">
    <cfRule type="cellIs" dxfId="179" priority="179" stopIfTrue="1" operator="equal">
      <formula>0</formula>
    </cfRule>
  </conditionalFormatting>
  <conditionalFormatting sqref="E81:M81 C81">
    <cfRule type="expression" dxfId="178" priority="178" stopIfTrue="1">
      <formula>ISERROR</formula>
    </cfRule>
  </conditionalFormatting>
  <conditionalFormatting sqref="C81:X81">
    <cfRule type="cellIs" dxfId="177" priority="177" stopIfTrue="1" operator="equal">
      <formula>0</formula>
    </cfRule>
  </conditionalFormatting>
  <conditionalFormatting sqref="E82:M82 C82">
    <cfRule type="expression" dxfId="176" priority="176" stopIfTrue="1">
      <formula>ISERROR</formula>
    </cfRule>
  </conditionalFormatting>
  <conditionalFormatting sqref="C82:X82">
    <cfRule type="cellIs" dxfId="175" priority="175" stopIfTrue="1" operator="equal">
      <formula>0</formula>
    </cfRule>
  </conditionalFormatting>
  <conditionalFormatting sqref="E83:M83 C83">
    <cfRule type="expression" dxfId="174" priority="174" stopIfTrue="1">
      <formula>ISERROR</formula>
    </cfRule>
  </conditionalFormatting>
  <conditionalFormatting sqref="C83:X83">
    <cfRule type="cellIs" dxfId="173" priority="173" stopIfTrue="1" operator="equal">
      <formula>0</formula>
    </cfRule>
  </conditionalFormatting>
  <conditionalFormatting sqref="E84:M84 C84">
    <cfRule type="expression" dxfId="172" priority="172" stopIfTrue="1">
      <formula>ISERROR</formula>
    </cfRule>
  </conditionalFormatting>
  <conditionalFormatting sqref="C84:X84">
    <cfRule type="cellIs" dxfId="171" priority="171" stopIfTrue="1" operator="equal">
      <formula>0</formula>
    </cfRule>
  </conditionalFormatting>
  <conditionalFormatting sqref="L85:M85 C85">
    <cfRule type="expression" dxfId="170" priority="170" stopIfTrue="1">
      <formula>ISERROR</formula>
    </cfRule>
  </conditionalFormatting>
  <conditionalFormatting sqref="C85:D85 L85:X85">
    <cfRule type="cellIs" dxfId="169" priority="169" stopIfTrue="1" operator="equal">
      <formula>0</formula>
    </cfRule>
  </conditionalFormatting>
  <conditionalFormatting sqref="E85:K85">
    <cfRule type="cellIs" dxfId="168" priority="167" stopIfTrue="1" operator="equal">
      <formula>0</formula>
    </cfRule>
  </conditionalFormatting>
  <conditionalFormatting sqref="E85:K85">
    <cfRule type="expression" dxfId="167" priority="168" stopIfTrue="1">
      <formula>ISERROR</formula>
    </cfRule>
  </conditionalFormatting>
  <conditionalFormatting sqref="E86:M86 C86">
    <cfRule type="expression" dxfId="166" priority="166" stopIfTrue="1">
      <formula>ISERROR</formula>
    </cfRule>
  </conditionalFormatting>
  <conditionalFormatting sqref="C86:X86">
    <cfRule type="cellIs" dxfId="165" priority="165" stopIfTrue="1" operator="equal">
      <formula>0</formula>
    </cfRule>
  </conditionalFormatting>
  <conditionalFormatting sqref="E87:M87 C87">
    <cfRule type="expression" dxfId="164" priority="164" stopIfTrue="1">
      <formula>ISERROR</formula>
    </cfRule>
  </conditionalFormatting>
  <conditionalFormatting sqref="C87:X87">
    <cfRule type="cellIs" dxfId="163" priority="163" stopIfTrue="1" operator="equal">
      <formula>0</formula>
    </cfRule>
  </conditionalFormatting>
  <conditionalFormatting sqref="E88:L88 C88">
    <cfRule type="expression" dxfId="162" priority="162" stopIfTrue="1">
      <formula>ISERROR</formula>
    </cfRule>
  </conditionalFormatting>
  <conditionalFormatting sqref="C88:L88 N88:X88">
    <cfRule type="cellIs" dxfId="161" priority="161" stopIfTrue="1" operator="equal">
      <formula>0</formula>
    </cfRule>
  </conditionalFormatting>
  <conditionalFormatting sqref="M88">
    <cfRule type="expression" dxfId="160" priority="159" stopIfTrue="1">
      <formula>ISERROR</formula>
    </cfRule>
  </conditionalFormatting>
  <conditionalFormatting sqref="M88">
    <cfRule type="cellIs" dxfId="159" priority="160" stopIfTrue="1" operator="equal">
      <formula>0</formula>
    </cfRule>
  </conditionalFormatting>
  <conditionalFormatting sqref="E89:M89 C89">
    <cfRule type="expression" dxfId="158" priority="158" stopIfTrue="1">
      <formula>ISERROR</formula>
    </cfRule>
  </conditionalFormatting>
  <conditionalFormatting sqref="C89:X89">
    <cfRule type="cellIs" dxfId="157" priority="157" stopIfTrue="1" operator="equal">
      <formula>0</formula>
    </cfRule>
  </conditionalFormatting>
  <conditionalFormatting sqref="E90:M90 C90">
    <cfRule type="expression" dxfId="156" priority="156" stopIfTrue="1">
      <formula>ISERROR</formula>
    </cfRule>
  </conditionalFormatting>
  <conditionalFormatting sqref="C90:X90">
    <cfRule type="cellIs" dxfId="155" priority="155" stopIfTrue="1" operator="equal">
      <formula>0</formula>
    </cfRule>
  </conditionalFormatting>
  <conditionalFormatting sqref="E91:M91 C91">
    <cfRule type="expression" dxfId="154" priority="154" stopIfTrue="1">
      <formula>ISERROR</formula>
    </cfRule>
  </conditionalFormatting>
  <conditionalFormatting sqref="C91:X91">
    <cfRule type="cellIs" dxfId="153" priority="153" stopIfTrue="1" operator="equal">
      <formula>0</formula>
    </cfRule>
  </conditionalFormatting>
  <conditionalFormatting sqref="E92:M92 C92">
    <cfRule type="expression" dxfId="152" priority="152" stopIfTrue="1">
      <formula>ISERROR</formula>
    </cfRule>
  </conditionalFormatting>
  <conditionalFormatting sqref="C92:X92">
    <cfRule type="cellIs" dxfId="151" priority="151" stopIfTrue="1" operator="equal">
      <formula>0</formula>
    </cfRule>
  </conditionalFormatting>
  <conditionalFormatting sqref="E93:M93 C93">
    <cfRule type="expression" dxfId="150" priority="150" stopIfTrue="1">
      <formula>ISERROR</formula>
    </cfRule>
  </conditionalFormatting>
  <conditionalFormatting sqref="C93:X93">
    <cfRule type="cellIs" dxfId="149" priority="149" stopIfTrue="1" operator="equal">
      <formula>0</formula>
    </cfRule>
  </conditionalFormatting>
  <conditionalFormatting sqref="E94:M94 C94">
    <cfRule type="expression" dxfId="148" priority="148" stopIfTrue="1">
      <formula>ISERROR</formula>
    </cfRule>
  </conditionalFormatting>
  <conditionalFormatting sqref="C94:X94">
    <cfRule type="cellIs" dxfId="147" priority="147" stopIfTrue="1" operator="equal">
      <formula>0</formula>
    </cfRule>
  </conditionalFormatting>
  <conditionalFormatting sqref="E95:M95 C95">
    <cfRule type="expression" dxfId="146" priority="146" stopIfTrue="1">
      <formula>ISERROR</formula>
    </cfRule>
  </conditionalFormatting>
  <conditionalFormatting sqref="C95:X95">
    <cfRule type="cellIs" dxfId="145" priority="145" stopIfTrue="1" operator="equal">
      <formula>0</formula>
    </cfRule>
  </conditionalFormatting>
  <conditionalFormatting sqref="E96:M96 C96">
    <cfRule type="expression" dxfId="144" priority="144" stopIfTrue="1">
      <formula>ISERROR</formula>
    </cfRule>
  </conditionalFormatting>
  <conditionalFormatting sqref="C96:X96">
    <cfRule type="cellIs" dxfId="143" priority="143" stopIfTrue="1" operator="equal">
      <formula>0</formula>
    </cfRule>
  </conditionalFormatting>
  <conditionalFormatting sqref="E97:M97 C97">
    <cfRule type="expression" dxfId="142" priority="142" stopIfTrue="1">
      <formula>ISERROR</formula>
    </cfRule>
  </conditionalFormatting>
  <conditionalFormatting sqref="C97:X97">
    <cfRule type="cellIs" dxfId="141" priority="141" stopIfTrue="1" operator="equal">
      <formula>0</formula>
    </cfRule>
  </conditionalFormatting>
  <conditionalFormatting sqref="E98:M98 C98">
    <cfRule type="expression" dxfId="140" priority="140" stopIfTrue="1">
      <formula>ISERROR</formula>
    </cfRule>
  </conditionalFormatting>
  <conditionalFormatting sqref="C98:X98">
    <cfRule type="cellIs" dxfId="139" priority="139" stopIfTrue="1" operator="equal">
      <formula>0</formula>
    </cfRule>
  </conditionalFormatting>
  <conditionalFormatting sqref="E99:M99 C99">
    <cfRule type="expression" dxfId="138" priority="138" stopIfTrue="1">
      <formula>ISERROR</formula>
    </cfRule>
  </conditionalFormatting>
  <conditionalFormatting sqref="C99:X99">
    <cfRule type="cellIs" dxfId="137" priority="137" stopIfTrue="1" operator="equal">
      <formula>0</formula>
    </cfRule>
  </conditionalFormatting>
  <conditionalFormatting sqref="E100:M100 C100">
    <cfRule type="expression" dxfId="136" priority="136" stopIfTrue="1">
      <formula>ISERROR</formula>
    </cfRule>
  </conditionalFormatting>
  <conditionalFormatting sqref="C100:X100">
    <cfRule type="cellIs" dxfId="135" priority="135" stopIfTrue="1" operator="equal">
      <formula>0</formula>
    </cfRule>
  </conditionalFormatting>
  <conditionalFormatting sqref="E101:M101 C101">
    <cfRule type="expression" dxfId="134" priority="134" stopIfTrue="1">
      <formula>ISERROR</formula>
    </cfRule>
  </conditionalFormatting>
  <conditionalFormatting sqref="C101:X101">
    <cfRule type="cellIs" dxfId="133" priority="133" stopIfTrue="1" operator="equal">
      <formula>0</formula>
    </cfRule>
  </conditionalFormatting>
  <conditionalFormatting sqref="E102:M102 C102">
    <cfRule type="expression" dxfId="132" priority="132" stopIfTrue="1">
      <formula>ISERROR</formula>
    </cfRule>
  </conditionalFormatting>
  <conditionalFormatting sqref="C102:X102">
    <cfRule type="cellIs" dxfId="131" priority="131" stopIfTrue="1" operator="equal">
      <formula>0</formula>
    </cfRule>
  </conditionalFormatting>
  <conditionalFormatting sqref="E103:M103 C103">
    <cfRule type="expression" dxfId="130" priority="130" stopIfTrue="1">
      <formula>ISERROR</formula>
    </cfRule>
  </conditionalFormatting>
  <conditionalFormatting sqref="C103:X103">
    <cfRule type="cellIs" dxfId="129" priority="129" stopIfTrue="1" operator="equal">
      <formula>0</formula>
    </cfRule>
  </conditionalFormatting>
  <conditionalFormatting sqref="E104:M104 C104">
    <cfRule type="expression" dxfId="128" priority="128" stopIfTrue="1">
      <formula>ISERROR</formula>
    </cfRule>
  </conditionalFormatting>
  <conditionalFormatting sqref="C104:X104">
    <cfRule type="cellIs" dxfId="127" priority="127" stopIfTrue="1" operator="equal">
      <formula>0</formula>
    </cfRule>
  </conditionalFormatting>
  <conditionalFormatting sqref="E105:M105 C105">
    <cfRule type="expression" dxfId="126" priority="126" stopIfTrue="1">
      <formula>ISERROR</formula>
    </cfRule>
  </conditionalFormatting>
  <conditionalFormatting sqref="C105:X105">
    <cfRule type="cellIs" dxfId="125" priority="125" stopIfTrue="1" operator="equal">
      <formula>0</formula>
    </cfRule>
  </conditionalFormatting>
  <conditionalFormatting sqref="E106:M106 C106">
    <cfRule type="expression" dxfId="124" priority="124" stopIfTrue="1">
      <formula>ISERROR</formula>
    </cfRule>
  </conditionalFormatting>
  <conditionalFormatting sqref="C106:X106">
    <cfRule type="cellIs" dxfId="123" priority="123" stopIfTrue="1" operator="equal">
      <formula>0</formula>
    </cfRule>
  </conditionalFormatting>
  <conditionalFormatting sqref="E107:M107 C107">
    <cfRule type="expression" dxfId="122" priority="122" stopIfTrue="1">
      <formula>ISERROR</formula>
    </cfRule>
  </conditionalFormatting>
  <conditionalFormatting sqref="C107:X107">
    <cfRule type="cellIs" dxfId="121" priority="121" stopIfTrue="1" operator="equal">
      <formula>0</formula>
    </cfRule>
  </conditionalFormatting>
  <conditionalFormatting sqref="E108:M108 C108">
    <cfRule type="expression" dxfId="120" priority="120" stopIfTrue="1">
      <formula>ISERROR</formula>
    </cfRule>
  </conditionalFormatting>
  <conditionalFormatting sqref="C108:X108">
    <cfRule type="cellIs" dxfId="119" priority="119" stopIfTrue="1" operator="equal">
      <formula>0</formula>
    </cfRule>
  </conditionalFormatting>
  <conditionalFormatting sqref="E109:M109 C109">
    <cfRule type="expression" dxfId="118" priority="118" stopIfTrue="1">
      <formula>ISERROR</formula>
    </cfRule>
  </conditionalFormatting>
  <conditionalFormatting sqref="C109:X109">
    <cfRule type="cellIs" dxfId="117" priority="117" stopIfTrue="1" operator="equal">
      <formula>0</formula>
    </cfRule>
  </conditionalFormatting>
  <conditionalFormatting sqref="E110:M110 C110">
    <cfRule type="expression" dxfId="116" priority="116" stopIfTrue="1">
      <formula>ISERROR</formula>
    </cfRule>
  </conditionalFormatting>
  <conditionalFormatting sqref="C110:X110">
    <cfRule type="cellIs" dxfId="115" priority="115" stopIfTrue="1" operator="equal">
      <formula>0</formula>
    </cfRule>
  </conditionalFormatting>
  <conditionalFormatting sqref="E111:M111 C111">
    <cfRule type="expression" dxfId="114" priority="114" stopIfTrue="1">
      <formula>ISERROR</formula>
    </cfRule>
  </conditionalFormatting>
  <conditionalFormatting sqref="C111:X111">
    <cfRule type="cellIs" dxfId="113" priority="113" stopIfTrue="1" operator="equal">
      <formula>0</formula>
    </cfRule>
  </conditionalFormatting>
  <conditionalFormatting sqref="E112:M112 C112">
    <cfRule type="expression" dxfId="112" priority="112" stopIfTrue="1">
      <formula>ISERROR</formula>
    </cfRule>
  </conditionalFormatting>
  <conditionalFormatting sqref="C112:X112">
    <cfRule type="cellIs" dxfId="111" priority="111" stopIfTrue="1" operator="equal">
      <formula>0</formula>
    </cfRule>
  </conditionalFormatting>
  <conditionalFormatting sqref="E113:M113 C113">
    <cfRule type="expression" dxfId="110" priority="110" stopIfTrue="1">
      <formula>ISERROR</formula>
    </cfRule>
  </conditionalFormatting>
  <conditionalFormatting sqref="C113:X113">
    <cfRule type="cellIs" dxfId="109" priority="109" stopIfTrue="1" operator="equal">
      <formula>0</formula>
    </cfRule>
  </conditionalFormatting>
  <conditionalFormatting sqref="E114:M114 C114">
    <cfRule type="expression" dxfId="108" priority="108" stopIfTrue="1">
      <formula>ISERROR</formula>
    </cfRule>
  </conditionalFormatting>
  <conditionalFormatting sqref="C114:X114">
    <cfRule type="cellIs" dxfId="107" priority="107" stopIfTrue="1" operator="equal">
      <formula>0</formula>
    </cfRule>
  </conditionalFormatting>
  <conditionalFormatting sqref="F115:M115 C115">
    <cfRule type="expression" dxfId="106" priority="106" stopIfTrue="1">
      <formula>ISERROR</formula>
    </cfRule>
  </conditionalFormatting>
  <conditionalFormatting sqref="C115:D115 F115:X115">
    <cfRule type="cellIs" dxfId="105" priority="105" stopIfTrue="1" operator="equal">
      <formula>0</formula>
    </cfRule>
  </conditionalFormatting>
  <conditionalFormatting sqref="C116 E116:M116">
    <cfRule type="expression" dxfId="104" priority="104" stopIfTrue="1">
      <formula>ISERROR</formula>
    </cfRule>
  </conditionalFormatting>
  <conditionalFormatting sqref="C116:X116">
    <cfRule type="cellIs" dxfId="103" priority="103" stopIfTrue="1" operator="equal">
      <formula>0</formula>
    </cfRule>
  </conditionalFormatting>
  <conditionalFormatting sqref="C117 E117:M117">
    <cfRule type="expression" dxfId="102" priority="102" stopIfTrue="1">
      <formula>ISERROR</formula>
    </cfRule>
  </conditionalFormatting>
  <conditionalFormatting sqref="C117:X117">
    <cfRule type="cellIs" dxfId="101" priority="101" stopIfTrue="1" operator="equal">
      <formula>0</formula>
    </cfRule>
  </conditionalFormatting>
  <conditionalFormatting sqref="C118 E118:M118">
    <cfRule type="expression" dxfId="100" priority="100" stopIfTrue="1">
      <formula>ISERROR</formula>
    </cfRule>
  </conditionalFormatting>
  <conditionalFormatting sqref="C118:X118">
    <cfRule type="cellIs" dxfId="99" priority="99" stopIfTrue="1" operator="equal">
      <formula>0</formula>
    </cfRule>
  </conditionalFormatting>
  <conditionalFormatting sqref="C119 E119:M119">
    <cfRule type="expression" dxfId="98" priority="98" stopIfTrue="1">
      <formula>ISERROR</formula>
    </cfRule>
  </conditionalFormatting>
  <conditionalFormatting sqref="C119:X119">
    <cfRule type="cellIs" dxfId="97" priority="97" stopIfTrue="1" operator="equal">
      <formula>0</formula>
    </cfRule>
  </conditionalFormatting>
  <conditionalFormatting sqref="C120 E120:M120">
    <cfRule type="expression" dxfId="96" priority="96" stopIfTrue="1">
      <formula>ISERROR</formula>
    </cfRule>
  </conditionalFormatting>
  <conditionalFormatting sqref="C120:X120">
    <cfRule type="cellIs" dxfId="95" priority="95" stopIfTrue="1" operator="equal">
      <formula>0</formula>
    </cfRule>
  </conditionalFormatting>
  <conditionalFormatting sqref="C121 E121:M121">
    <cfRule type="expression" dxfId="94" priority="94" stopIfTrue="1">
      <formula>ISERROR</formula>
    </cfRule>
  </conditionalFormatting>
  <conditionalFormatting sqref="C121:X121">
    <cfRule type="cellIs" dxfId="93" priority="93" stopIfTrue="1" operator="equal">
      <formula>0</formula>
    </cfRule>
  </conditionalFormatting>
  <conditionalFormatting sqref="C122 E122:M122">
    <cfRule type="expression" dxfId="92" priority="92" stopIfTrue="1">
      <formula>ISERROR</formula>
    </cfRule>
  </conditionalFormatting>
  <conditionalFormatting sqref="C122:X122">
    <cfRule type="cellIs" dxfId="91" priority="91" stopIfTrue="1" operator="equal">
      <formula>0</formula>
    </cfRule>
  </conditionalFormatting>
  <conditionalFormatting sqref="C123 E123:M123">
    <cfRule type="expression" dxfId="90" priority="90" stopIfTrue="1">
      <formula>ISERROR</formula>
    </cfRule>
  </conditionalFormatting>
  <conditionalFormatting sqref="C123:X123">
    <cfRule type="cellIs" dxfId="89" priority="89" stopIfTrue="1" operator="equal">
      <formula>0</formula>
    </cfRule>
  </conditionalFormatting>
  <conditionalFormatting sqref="C125 E125:M125">
    <cfRule type="expression" dxfId="88" priority="88" stopIfTrue="1">
      <formula>ISERROR</formula>
    </cfRule>
  </conditionalFormatting>
  <conditionalFormatting sqref="C125:X125">
    <cfRule type="cellIs" dxfId="87" priority="87" stopIfTrue="1" operator="equal">
      <formula>0</formula>
    </cfRule>
  </conditionalFormatting>
  <conditionalFormatting sqref="C126 E126:M126">
    <cfRule type="expression" dxfId="86" priority="86" stopIfTrue="1">
      <formula>ISERROR</formula>
    </cfRule>
  </conditionalFormatting>
  <conditionalFormatting sqref="C126:X126">
    <cfRule type="cellIs" dxfId="85" priority="85" stopIfTrue="1" operator="equal">
      <formula>0</formula>
    </cfRule>
  </conditionalFormatting>
  <conditionalFormatting sqref="C128 E128:M128">
    <cfRule type="expression" dxfId="84" priority="84" stopIfTrue="1">
      <formula>ISERROR</formula>
    </cfRule>
  </conditionalFormatting>
  <conditionalFormatting sqref="C128:X128">
    <cfRule type="cellIs" dxfId="83" priority="83" stopIfTrue="1" operator="equal">
      <formula>0</formula>
    </cfRule>
  </conditionalFormatting>
  <conditionalFormatting sqref="C129 E129:M129">
    <cfRule type="expression" dxfId="82" priority="82" stopIfTrue="1">
      <formula>ISERROR</formula>
    </cfRule>
  </conditionalFormatting>
  <conditionalFormatting sqref="C129:X129">
    <cfRule type="cellIs" dxfId="81" priority="81" stopIfTrue="1" operator="equal">
      <formula>0</formula>
    </cfRule>
  </conditionalFormatting>
  <conditionalFormatting sqref="C131 E131:M131">
    <cfRule type="expression" dxfId="80" priority="80" stopIfTrue="1">
      <formula>ISERROR</formula>
    </cfRule>
  </conditionalFormatting>
  <conditionalFormatting sqref="C131:X131">
    <cfRule type="cellIs" dxfId="79" priority="79" stopIfTrue="1" operator="equal">
      <formula>0</formula>
    </cfRule>
  </conditionalFormatting>
  <conditionalFormatting sqref="C132 E132:M132">
    <cfRule type="expression" dxfId="78" priority="78" stopIfTrue="1">
      <formula>ISERROR</formula>
    </cfRule>
  </conditionalFormatting>
  <conditionalFormatting sqref="C132:X132">
    <cfRule type="cellIs" dxfId="77" priority="77" stopIfTrue="1" operator="equal">
      <formula>0</formula>
    </cfRule>
  </conditionalFormatting>
  <conditionalFormatting sqref="C133 E133:M133">
    <cfRule type="expression" dxfId="76" priority="76" stopIfTrue="1">
      <formula>ISERROR</formula>
    </cfRule>
  </conditionalFormatting>
  <conditionalFormatting sqref="C133:X133">
    <cfRule type="cellIs" dxfId="75" priority="75" stopIfTrue="1" operator="equal">
      <formula>0</formula>
    </cfRule>
  </conditionalFormatting>
  <conditionalFormatting sqref="C134 E134:M134">
    <cfRule type="expression" dxfId="74" priority="74" stopIfTrue="1">
      <formula>ISERROR</formula>
    </cfRule>
  </conditionalFormatting>
  <conditionalFormatting sqref="C134:X134">
    <cfRule type="cellIs" dxfId="73" priority="73" stopIfTrue="1" operator="equal">
      <formula>0</formula>
    </cfRule>
  </conditionalFormatting>
  <conditionalFormatting sqref="C135 E135:M135">
    <cfRule type="expression" dxfId="72" priority="72" stopIfTrue="1">
      <formula>ISERROR</formula>
    </cfRule>
  </conditionalFormatting>
  <conditionalFormatting sqref="C135:X135">
    <cfRule type="cellIs" dxfId="71" priority="71" stopIfTrue="1" operator="equal">
      <formula>0</formula>
    </cfRule>
  </conditionalFormatting>
  <conditionalFormatting sqref="C136 E136:M136">
    <cfRule type="expression" dxfId="70" priority="70" stopIfTrue="1">
      <formula>ISERROR</formula>
    </cfRule>
  </conditionalFormatting>
  <conditionalFormatting sqref="C136:X136">
    <cfRule type="cellIs" dxfId="69" priority="69" stopIfTrue="1" operator="equal">
      <formula>0</formula>
    </cfRule>
  </conditionalFormatting>
  <conditionalFormatting sqref="C137 E137:M137">
    <cfRule type="expression" dxfId="68" priority="68" stopIfTrue="1">
      <formula>ISERROR</formula>
    </cfRule>
  </conditionalFormatting>
  <conditionalFormatting sqref="C137:X137">
    <cfRule type="cellIs" dxfId="67" priority="67" stopIfTrue="1" operator="equal">
      <formula>0</formula>
    </cfRule>
  </conditionalFormatting>
  <conditionalFormatting sqref="C138 E138:M138">
    <cfRule type="expression" dxfId="66" priority="66" stopIfTrue="1">
      <formula>ISERROR</formula>
    </cfRule>
  </conditionalFormatting>
  <conditionalFormatting sqref="C138:X138">
    <cfRule type="cellIs" dxfId="65" priority="65" stopIfTrue="1" operator="equal">
      <formula>0</formula>
    </cfRule>
  </conditionalFormatting>
  <conditionalFormatting sqref="C139 E139:M139">
    <cfRule type="expression" dxfId="64" priority="64" stopIfTrue="1">
      <formula>ISERROR</formula>
    </cfRule>
  </conditionalFormatting>
  <conditionalFormatting sqref="C139:X139">
    <cfRule type="cellIs" dxfId="63" priority="63" stopIfTrue="1" operator="equal">
      <formula>0</formula>
    </cfRule>
  </conditionalFormatting>
  <conditionalFormatting sqref="C140 E140:M140">
    <cfRule type="expression" dxfId="62" priority="62" stopIfTrue="1">
      <formula>ISERROR</formula>
    </cfRule>
  </conditionalFormatting>
  <conditionalFormatting sqref="C140:X140">
    <cfRule type="cellIs" dxfId="61" priority="61" stopIfTrue="1" operator="equal">
      <formula>0</formula>
    </cfRule>
  </conditionalFormatting>
  <conditionalFormatting sqref="C141 E141:M141">
    <cfRule type="expression" dxfId="60" priority="60" stopIfTrue="1">
      <formula>ISERROR</formula>
    </cfRule>
  </conditionalFormatting>
  <conditionalFormatting sqref="C141:X141">
    <cfRule type="cellIs" dxfId="59" priority="59" stopIfTrue="1" operator="equal">
      <formula>0</formula>
    </cfRule>
  </conditionalFormatting>
  <conditionalFormatting sqref="C142 E142:M142">
    <cfRule type="expression" dxfId="58" priority="58" stopIfTrue="1">
      <formula>ISERROR</formula>
    </cfRule>
  </conditionalFormatting>
  <conditionalFormatting sqref="C142:X142">
    <cfRule type="cellIs" dxfId="57" priority="57" stopIfTrue="1" operator="equal">
      <formula>0</formula>
    </cfRule>
  </conditionalFormatting>
  <conditionalFormatting sqref="C143 E143:M143">
    <cfRule type="expression" dxfId="56" priority="56" stopIfTrue="1">
      <formula>ISERROR</formula>
    </cfRule>
  </conditionalFormatting>
  <conditionalFormatting sqref="C143:X143">
    <cfRule type="cellIs" dxfId="55" priority="55" stopIfTrue="1" operator="equal">
      <formula>0</formula>
    </cfRule>
  </conditionalFormatting>
  <conditionalFormatting sqref="C145 E145:M145">
    <cfRule type="expression" dxfId="54" priority="54" stopIfTrue="1">
      <formula>ISERROR</formula>
    </cfRule>
  </conditionalFormatting>
  <conditionalFormatting sqref="C145:X145">
    <cfRule type="cellIs" dxfId="53" priority="53" stopIfTrue="1" operator="equal">
      <formula>0</formula>
    </cfRule>
  </conditionalFormatting>
  <conditionalFormatting sqref="C146 E146:M146">
    <cfRule type="expression" dxfId="52" priority="52" stopIfTrue="1">
      <formula>ISERROR</formula>
    </cfRule>
  </conditionalFormatting>
  <conditionalFormatting sqref="C146:X146">
    <cfRule type="cellIs" dxfId="51" priority="51" stopIfTrue="1" operator="equal">
      <formula>0</formula>
    </cfRule>
  </conditionalFormatting>
  <conditionalFormatting sqref="C147 E147:M147">
    <cfRule type="expression" dxfId="50" priority="50" stopIfTrue="1">
      <formula>ISERROR</formula>
    </cfRule>
  </conditionalFormatting>
  <conditionalFormatting sqref="C147:X147">
    <cfRule type="cellIs" dxfId="49" priority="49" stopIfTrue="1" operator="equal">
      <formula>0</formula>
    </cfRule>
  </conditionalFormatting>
  <conditionalFormatting sqref="C148 E148:M148">
    <cfRule type="expression" dxfId="48" priority="48" stopIfTrue="1">
      <formula>ISERROR</formula>
    </cfRule>
  </conditionalFormatting>
  <conditionalFormatting sqref="C148:X148">
    <cfRule type="cellIs" dxfId="47" priority="47" stopIfTrue="1" operator="equal">
      <formula>0</formula>
    </cfRule>
  </conditionalFormatting>
  <conditionalFormatting sqref="C149 E149:M149">
    <cfRule type="expression" dxfId="46" priority="46" stopIfTrue="1">
      <formula>ISERROR</formula>
    </cfRule>
  </conditionalFormatting>
  <conditionalFormatting sqref="C149:X149">
    <cfRule type="cellIs" dxfId="45" priority="45" stopIfTrue="1" operator="equal">
      <formula>0</formula>
    </cfRule>
  </conditionalFormatting>
  <conditionalFormatting sqref="C150 E150:M150">
    <cfRule type="expression" dxfId="44" priority="44" stopIfTrue="1">
      <formula>ISERROR</formula>
    </cfRule>
  </conditionalFormatting>
  <conditionalFormatting sqref="C150:X150">
    <cfRule type="cellIs" dxfId="43" priority="43" stopIfTrue="1" operator="equal">
      <formula>0</formula>
    </cfRule>
  </conditionalFormatting>
  <conditionalFormatting sqref="C151 E151:M151">
    <cfRule type="expression" dxfId="42" priority="42" stopIfTrue="1">
      <formula>ISERROR</formula>
    </cfRule>
  </conditionalFormatting>
  <conditionalFormatting sqref="C151:X151">
    <cfRule type="cellIs" dxfId="41" priority="41" stopIfTrue="1" operator="equal">
      <formula>0</formula>
    </cfRule>
  </conditionalFormatting>
  <conditionalFormatting sqref="C152 E152:M152">
    <cfRule type="expression" dxfId="40" priority="40" stopIfTrue="1">
      <formula>ISERROR</formula>
    </cfRule>
  </conditionalFormatting>
  <conditionalFormatting sqref="C152:X152">
    <cfRule type="cellIs" dxfId="39" priority="39" stopIfTrue="1" operator="equal">
      <formula>0</formula>
    </cfRule>
  </conditionalFormatting>
  <conditionalFormatting sqref="C153 E153:M153">
    <cfRule type="expression" dxfId="38" priority="38" stopIfTrue="1">
      <formula>ISERROR</formula>
    </cfRule>
  </conditionalFormatting>
  <conditionalFormatting sqref="C153:X153">
    <cfRule type="cellIs" dxfId="37" priority="37" stopIfTrue="1" operator="equal">
      <formula>0</formula>
    </cfRule>
  </conditionalFormatting>
  <conditionalFormatting sqref="C154 E154:M154">
    <cfRule type="expression" dxfId="36" priority="36" stopIfTrue="1">
      <formula>ISERROR</formula>
    </cfRule>
  </conditionalFormatting>
  <conditionalFormatting sqref="C154:X154">
    <cfRule type="cellIs" dxfId="35" priority="35" stopIfTrue="1" operator="equal">
      <formula>0</formula>
    </cfRule>
  </conditionalFormatting>
  <conditionalFormatting sqref="C155 E155:M155">
    <cfRule type="expression" dxfId="34" priority="34" stopIfTrue="1">
      <formula>ISERROR</formula>
    </cfRule>
  </conditionalFormatting>
  <conditionalFormatting sqref="C155:X155">
    <cfRule type="cellIs" dxfId="33" priority="33" stopIfTrue="1" operator="equal">
      <formula>0</formula>
    </cfRule>
  </conditionalFormatting>
  <conditionalFormatting sqref="C156 E156:M156">
    <cfRule type="expression" dxfId="32" priority="32" stopIfTrue="1">
      <formula>ISERROR</formula>
    </cfRule>
  </conditionalFormatting>
  <conditionalFormatting sqref="C156:X156">
    <cfRule type="cellIs" dxfId="31" priority="31" stopIfTrue="1" operator="equal">
      <formula>0</formula>
    </cfRule>
  </conditionalFormatting>
  <conditionalFormatting sqref="C157 E157:M157">
    <cfRule type="expression" dxfId="30" priority="30" stopIfTrue="1">
      <formula>ISERROR</formula>
    </cfRule>
  </conditionalFormatting>
  <conditionalFormatting sqref="C157:X157">
    <cfRule type="cellIs" dxfId="29" priority="29" stopIfTrue="1" operator="equal">
      <formula>0</formula>
    </cfRule>
  </conditionalFormatting>
  <conditionalFormatting sqref="C158 E158:M158">
    <cfRule type="expression" dxfId="28" priority="28" stopIfTrue="1">
      <formula>ISERROR</formula>
    </cfRule>
  </conditionalFormatting>
  <conditionalFormatting sqref="C158:X158">
    <cfRule type="cellIs" dxfId="27" priority="27" stopIfTrue="1" operator="equal">
      <formula>0</formula>
    </cfRule>
  </conditionalFormatting>
  <conditionalFormatting sqref="C159 E159:M159">
    <cfRule type="expression" dxfId="26" priority="26" stopIfTrue="1">
      <formula>ISERROR</formula>
    </cfRule>
  </conditionalFormatting>
  <conditionalFormatting sqref="C159:X159">
    <cfRule type="cellIs" dxfId="25" priority="25" stopIfTrue="1" operator="equal">
      <formula>0</formula>
    </cfRule>
  </conditionalFormatting>
  <conditionalFormatting sqref="C160 E160:M160">
    <cfRule type="expression" dxfId="24" priority="24" stopIfTrue="1">
      <formula>ISERROR</formula>
    </cfRule>
  </conditionalFormatting>
  <conditionalFormatting sqref="C160:X160">
    <cfRule type="cellIs" dxfId="23" priority="23" stopIfTrue="1" operator="equal">
      <formula>0</formula>
    </cfRule>
  </conditionalFormatting>
  <conditionalFormatting sqref="C161 E161:M161">
    <cfRule type="expression" dxfId="22" priority="22" stopIfTrue="1">
      <formula>ISERROR</formula>
    </cfRule>
  </conditionalFormatting>
  <conditionalFormatting sqref="C161:X161">
    <cfRule type="cellIs" dxfId="21" priority="21" stopIfTrue="1" operator="equal">
      <formula>0</formula>
    </cfRule>
  </conditionalFormatting>
  <conditionalFormatting sqref="C162 E162:M162">
    <cfRule type="expression" dxfId="20" priority="20" stopIfTrue="1">
      <formula>ISERROR</formula>
    </cfRule>
  </conditionalFormatting>
  <conditionalFormatting sqref="C162:X162">
    <cfRule type="cellIs" dxfId="19" priority="19" stopIfTrue="1" operator="equal">
      <formula>0</formula>
    </cfRule>
  </conditionalFormatting>
  <conditionalFormatting sqref="C163 E163:M163">
    <cfRule type="expression" dxfId="18" priority="18" stopIfTrue="1">
      <formula>ISERROR</formula>
    </cfRule>
  </conditionalFormatting>
  <conditionalFormatting sqref="C163:X163">
    <cfRule type="cellIs" dxfId="17" priority="17" stopIfTrue="1" operator="equal">
      <formula>0</formula>
    </cfRule>
  </conditionalFormatting>
  <conditionalFormatting sqref="C164 E164:M164">
    <cfRule type="expression" dxfId="16" priority="16" stopIfTrue="1">
      <formula>ISERROR</formula>
    </cfRule>
  </conditionalFormatting>
  <conditionalFormatting sqref="C164:X164">
    <cfRule type="cellIs" dxfId="15" priority="15" stopIfTrue="1" operator="equal">
      <formula>0</formula>
    </cfRule>
  </conditionalFormatting>
  <conditionalFormatting sqref="C165 E165:M165">
    <cfRule type="expression" dxfId="14" priority="14" stopIfTrue="1">
      <formula>ISERROR</formula>
    </cfRule>
  </conditionalFormatting>
  <conditionalFormatting sqref="C165:X165">
    <cfRule type="cellIs" dxfId="13" priority="13" stopIfTrue="1" operator="equal">
      <formula>0</formula>
    </cfRule>
  </conditionalFormatting>
  <conditionalFormatting sqref="C166 E166:M166">
    <cfRule type="expression" dxfId="12" priority="12" stopIfTrue="1">
      <formula>ISERROR</formula>
    </cfRule>
  </conditionalFormatting>
  <conditionalFormatting sqref="C166:X166">
    <cfRule type="cellIs" dxfId="11" priority="11" stopIfTrue="1" operator="equal">
      <formula>0</formula>
    </cfRule>
  </conditionalFormatting>
  <conditionalFormatting sqref="C167 E167:M167">
    <cfRule type="expression" dxfId="10" priority="10" stopIfTrue="1">
      <formula>ISERROR</formula>
    </cfRule>
  </conditionalFormatting>
  <conditionalFormatting sqref="C167:X167">
    <cfRule type="cellIs" dxfId="9" priority="9" stopIfTrue="1" operator="equal">
      <formula>0</formula>
    </cfRule>
  </conditionalFormatting>
  <conditionalFormatting sqref="C168 E168:M168">
    <cfRule type="expression" dxfId="8" priority="8" stopIfTrue="1">
      <formula>ISERROR</formula>
    </cfRule>
  </conditionalFormatting>
  <conditionalFormatting sqref="C168:X168">
    <cfRule type="cellIs" dxfId="7" priority="7" stopIfTrue="1" operator="equal">
      <formula>0</formula>
    </cfRule>
  </conditionalFormatting>
  <conditionalFormatting sqref="C169 E169:M169">
    <cfRule type="expression" dxfId="6" priority="6" stopIfTrue="1">
      <formula>ISERROR</formula>
    </cfRule>
  </conditionalFormatting>
  <conditionalFormatting sqref="C169:X169">
    <cfRule type="cellIs" dxfId="5" priority="5" stopIfTrue="1" operator="equal">
      <formula>0</formula>
    </cfRule>
  </conditionalFormatting>
  <conditionalFormatting sqref="C170 E170:M170">
    <cfRule type="expression" dxfId="4" priority="4" stopIfTrue="1">
      <formula>ISERROR</formula>
    </cfRule>
  </conditionalFormatting>
  <conditionalFormatting sqref="C170:X170">
    <cfRule type="cellIs" dxfId="3" priority="3" stopIfTrue="1" operator="equal">
      <formula>0</formula>
    </cfRule>
  </conditionalFormatting>
  <conditionalFormatting sqref="C171 E171:M171">
    <cfRule type="expression" dxfId="2" priority="2" stopIfTrue="1">
      <formula>ISERROR</formula>
    </cfRule>
  </conditionalFormatting>
  <conditionalFormatting sqref="C171:X171">
    <cfRule type="cellIs" dxfId="1" priority="1" stopIfTrue="1" operator="equal">
      <formula>0</formula>
    </cfRule>
  </conditionalFormatting>
  <pageMargins left="0.7" right="0.7" top="0.75" bottom="0.75" header="0.3" footer="0.3"/>
  <pageSetup paperSize="9" scale="4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C9971-ABB5-4BF1-ACCB-96286A736B4A}">
  <sheetPr codeName="Sheet7">
    <tabColor rgb="FFFFFF00"/>
  </sheetPr>
  <dimension ref="A1:AG42"/>
  <sheetViews>
    <sheetView tabSelected="1" view="pageBreakPreview" zoomScaleNormal="100" zoomScaleSheetLayoutView="100" workbookViewId="0">
      <selection activeCell="Q42" sqref="Q42"/>
    </sheetView>
  </sheetViews>
  <sheetFormatPr defaultColWidth="3.85546875" defaultRowHeight="20.100000000000001" customHeight="1"/>
  <cols>
    <col min="1" max="4" width="3.85546875" style="235"/>
    <col min="5" max="6" width="3.85546875" style="235" customWidth="1"/>
    <col min="7" max="15" width="3.85546875" style="235"/>
    <col min="16" max="16" width="3.85546875" style="236"/>
    <col min="17" max="16384" width="3.85546875" style="235"/>
  </cols>
  <sheetData>
    <row r="1" spans="1:29" ht="28.15" customHeight="1">
      <c r="A1" s="318" t="s">
        <v>346</v>
      </c>
      <c r="B1" s="318"/>
      <c r="C1" s="318"/>
      <c r="D1" s="318"/>
      <c r="E1" s="318"/>
      <c r="F1" s="318"/>
      <c r="G1" s="318"/>
      <c r="H1" s="318"/>
      <c r="I1" s="318"/>
      <c r="J1" s="318"/>
      <c r="K1" s="318"/>
      <c r="L1" s="318"/>
      <c r="M1" s="318"/>
      <c r="N1" s="318"/>
      <c r="O1" s="318"/>
      <c r="P1" s="318"/>
      <c r="Q1" s="318"/>
      <c r="R1" s="318"/>
      <c r="S1" s="318"/>
      <c r="T1" s="318"/>
      <c r="U1" s="318"/>
      <c r="V1" s="318"/>
      <c r="W1" s="318"/>
      <c r="X1" s="318"/>
      <c r="Y1" s="318"/>
      <c r="Z1" s="318"/>
      <c r="AA1" s="318"/>
      <c r="AB1" s="318"/>
      <c r="AC1" s="318"/>
    </row>
    <row r="2" spans="1:29" ht="28.15" customHeight="1">
      <c r="A2" s="224"/>
      <c r="B2" s="224"/>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row>
    <row r="3" spans="1:29" ht="28.15" customHeight="1">
      <c r="A3" s="331" t="s">
        <v>956</v>
      </c>
      <c r="B3" s="331"/>
      <c r="C3" s="331"/>
      <c r="D3" s="331"/>
      <c r="E3" s="331"/>
      <c r="F3" s="331"/>
      <c r="G3" s="331"/>
      <c r="H3" s="331"/>
      <c r="I3" s="331"/>
      <c r="J3" s="331"/>
      <c r="K3" s="331"/>
      <c r="L3" s="331"/>
      <c r="M3" s="331"/>
      <c r="N3" s="331"/>
      <c r="O3" s="331"/>
      <c r="P3" s="331"/>
      <c r="Q3" s="331"/>
      <c r="R3" s="331"/>
      <c r="S3" s="331"/>
      <c r="T3" s="331"/>
      <c r="U3" s="331"/>
      <c r="V3" s="331"/>
      <c r="W3" s="331"/>
      <c r="X3" s="331"/>
      <c r="Y3" s="331"/>
      <c r="Z3" s="331"/>
      <c r="AA3" s="331"/>
      <c r="AB3" s="331"/>
      <c r="AC3" s="331"/>
    </row>
    <row r="4" spans="1:29" ht="26.25" customHeight="1">
      <c r="A4" s="567" t="s">
        <v>943</v>
      </c>
      <c r="B4" s="567"/>
      <c r="C4" s="567"/>
      <c r="D4" s="567"/>
      <c r="E4" s="567"/>
      <c r="F4" s="325"/>
      <c r="G4" s="326"/>
      <c r="H4" s="326"/>
      <c r="I4" s="326"/>
      <c r="J4" s="326"/>
      <c r="K4" s="326"/>
      <c r="L4" s="326"/>
      <c r="M4" s="326"/>
      <c r="N4" s="326"/>
      <c r="O4" s="326"/>
      <c r="P4" s="326"/>
      <c r="Q4" s="326"/>
      <c r="R4" s="326"/>
      <c r="S4" s="326"/>
      <c r="T4" s="326"/>
      <c r="U4" s="326"/>
      <c r="V4" s="326"/>
      <c r="W4" s="326"/>
      <c r="X4" s="326"/>
      <c r="Y4" s="326"/>
      <c r="Z4" s="326"/>
      <c r="AA4" s="326"/>
      <c r="AB4" s="326"/>
      <c r="AC4" s="327"/>
    </row>
    <row r="5" spans="1:29" ht="26.25" customHeight="1">
      <c r="A5" s="564" t="s">
        <v>979</v>
      </c>
      <c r="B5" s="565"/>
      <c r="C5" s="565"/>
      <c r="D5" s="565"/>
      <c r="E5" s="566"/>
      <c r="F5" s="325"/>
      <c r="G5" s="326"/>
      <c r="H5" s="326"/>
      <c r="I5" s="326"/>
      <c r="J5" s="326"/>
      <c r="K5" s="326"/>
      <c r="L5" s="326"/>
      <c r="M5" s="326"/>
      <c r="N5" s="326"/>
      <c r="O5" s="326"/>
      <c r="P5" s="326"/>
      <c r="Q5" s="326"/>
      <c r="R5" s="326"/>
      <c r="S5" s="326"/>
      <c r="T5" s="326"/>
      <c r="U5" s="326"/>
      <c r="V5" s="326"/>
      <c r="W5" s="326"/>
      <c r="X5" s="326"/>
      <c r="Y5" s="326"/>
      <c r="Z5" s="326"/>
      <c r="AA5" s="326"/>
      <c r="AB5" s="326"/>
      <c r="AC5" s="327"/>
    </row>
    <row r="6" spans="1:29" ht="26.25" customHeight="1">
      <c r="A6" s="575"/>
      <c r="B6" s="576"/>
      <c r="C6" s="576" t="s">
        <v>949</v>
      </c>
      <c r="D6" s="576"/>
      <c r="E6" s="577"/>
      <c r="F6" s="325"/>
      <c r="G6" s="326"/>
      <c r="H6" s="326"/>
      <c r="I6" s="326"/>
      <c r="J6" s="326"/>
      <c r="K6" s="326"/>
      <c r="L6" s="326"/>
      <c r="M6" s="326"/>
      <c r="N6" s="326"/>
      <c r="O6" s="326"/>
      <c r="P6" s="326"/>
      <c r="Q6" s="326"/>
      <c r="R6" s="326"/>
      <c r="S6" s="326"/>
      <c r="T6" s="326"/>
      <c r="U6" s="326"/>
      <c r="V6" s="326"/>
      <c r="W6" s="326"/>
      <c r="X6" s="326"/>
      <c r="Y6" s="326"/>
      <c r="Z6" s="326"/>
      <c r="AA6" s="326"/>
      <c r="AB6" s="326"/>
      <c r="AC6" s="327"/>
    </row>
    <row r="7" spans="1:29" ht="26.25" customHeight="1">
      <c r="A7" s="564" t="s">
        <v>967</v>
      </c>
      <c r="B7" s="565"/>
      <c r="C7" s="565"/>
      <c r="D7" s="565"/>
      <c r="E7" s="566"/>
      <c r="F7" s="328"/>
      <c r="G7" s="329"/>
      <c r="H7" s="329"/>
      <c r="I7" s="329"/>
      <c r="J7" s="329"/>
      <c r="K7" s="329"/>
      <c r="L7" s="329"/>
      <c r="M7" s="329"/>
      <c r="N7" s="329"/>
      <c r="O7" s="329"/>
      <c r="P7" s="329"/>
      <c r="Q7" s="329"/>
      <c r="R7" s="329"/>
      <c r="S7" s="329"/>
      <c r="T7" s="329"/>
      <c r="U7" s="329"/>
      <c r="V7" s="329"/>
      <c r="W7" s="329"/>
      <c r="X7" s="329"/>
      <c r="Y7" s="329"/>
      <c r="Z7" s="329"/>
      <c r="AA7" s="329"/>
      <c r="AB7" s="329"/>
      <c r="AC7" s="330"/>
    </row>
    <row r="8" spans="1:29" ht="26.25" customHeight="1">
      <c r="A8" s="564" t="s">
        <v>942</v>
      </c>
      <c r="B8" s="565"/>
      <c r="C8" s="565"/>
      <c r="D8" s="565"/>
      <c r="E8" s="566"/>
      <c r="F8" s="319"/>
      <c r="G8" s="320"/>
      <c r="H8" s="320"/>
      <c r="I8" s="320"/>
      <c r="J8" s="320"/>
      <c r="K8" s="320"/>
      <c r="L8" s="320"/>
      <c r="M8" s="320"/>
      <c r="N8" s="320"/>
      <c r="O8" s="320"/>
      <c r="P8" s="320"/>
      <c r="Q8" s="320"/>
      <c r="R8" s="320"/>
      <c r="S8" s="320"/>
      <c r="T8" s="320"/>
      <c r="U8" s="320"/>
      <c r="V8" s="320"/>
      <c r="W8" s="320"/>
      <c r="X8" s="320"/>
      <c r="Y8" s="320"/>
      <c r="Z8" s="320"/>
      <c r="AA8" s="320"/>
      <c r="AB8" s="320"/>
      <c r="AC8" s="321"/>
    </row>
    <row r="9" spans="1:29" ht="26.25" customHeight="1">
      <c r="A9" s="567" t="s">
        <v>351</v>
      </c>
      <c r="B9" s="567"/>
      <c r="C9" s="567"/>
      <c r="D9" s="567"/>
      <c r="E9" s="567"/>
      <c r="F9" s="322"/>
      <c r="G9" s="323"/>
      <c r="H9" s="323"/>
      <c r="I9" s="323"/>
      <c r="J9" s="323"/>
      <c r="K9" s="323"/>
      <c r="L9" s="323"/>
      <c r="M9" s="323"/>
      <c r="N9" s="323"/>
      <c r="O9" s="323"/>
      <c r="P9" s="323"/>
      <c r="Q9" s="323"/>
      <c r="R9" s="323"/>
      <c r="S9" s="323"/>
      <c r="T9" s="323"/>
      <c r="U9" s="323"/>
      <c r="V9" s="323"/>
      <c r="W9" s="323"/>
      <c r="X9" s="323"/>
      <c r="Y9" s="323"/>
      <c r="Z9" s="323"/>
      <c r="AA9" s="323"/>
      <c r="AB9" s="323"/>
      <c r="AC9" s="324"/>
    </row>
    <row r="10" spans="1:29" ht="26.25" customHeight="1">
      <c r="A10" s="568" t="s">
        <v>965</v>
      </c>
      <c r="B10" s="567"/>
      <c r="C10" s="567"/>
      <c r="D10" s="567"/>
      <c r="E10" s="567"/>
      <c r="F10" s="272"/>
      <c r="G10" s="272"/>
      <c r="H10" s="272"/>
      <c r="I10" s="272"/>
      <c r="J10" s="272"/>
      <c r="K10" s="272"/>
      <c r="L10" s="272"/>
      <c r="M10" s="272"/>
      <c r="N10" s="272"/>
      <c r="O10" s="272"/>
      <c r="P10" s="272"/>
      <c r="Q10" s="272"/>
      <c r="R10" s="272"/>
      <c r="S10" s="272"/>
      <c r="T10" s="272"/>
      <c r="U10" s="272"/>
      <c r="V10" s="272"/>
      <c r="W10" s="272"/>
      <c r="X10" s="272"/>
      <c r="Y10" s="272"/>
      <c r="Z10" s="272"/>
      <c r="AA10" s="272"/>
      <c r="AB10" s="272"/>
      <c r="AC10" s="272"/>
    </row>
    <row r="11" spans="1:29" ht="26.25" customHeight="1">
      <c r="A11" s="567" t="s">
        <v>348</v>
      </c>
      <c r="B11" s="567"/>
      <c r="C11" s="567"/>
      <c r="D11" s="567"/>
      <c r="E11" s="567"/>
      <c r="F11" s="272"/>
      <c r="G11" s="272"/>
      <c r="H11" s="272"/>
      <c r="I11" s="272"/>
      <c r="J11" s="272"/>
      <c r="K11" s="272"/>
      <c r="L11" s="272"/>
      <c r="M11" s="272"/>
      <c r="N11" s="272"/>
      <c r="O11" s="272"/>
      <c r="P11" s="272"/>
      <c r="Q11" s="272"/>
      <c r="R11" s="272"/>
      <c r="S11" s="272"/>
      <c r="T11" s="272"/>
      <c r="U11" s="272"/>
      <c r="V11" s="272"/>
      <c r="W11" s="272"/>
      <c r="X11" s="272"/>
      <c r="Y11" s="272"/>
      <c r="Z11" s="272"/>
      <c r="AA11" s="272"/>
      <c r="AB11" s="272"/>
      <c r="AC11" s="272"/>
    </row>
    <row r="12" spans="1:29" ht="26.25" customHeight="1">
      <c r="A12" s="569" t="s">
        <v>963</v>
      </c>
      <c r="B12" s="570"/>
      <c r="C12" s="570"/>
      <c r="D12" s="570"/>
      <c r="E12" s="571"/>
      <c r="F12" s="315"/>
      <c r="G12" s="316"/>
      <c r="H12" s="316"/>
      <c r="I12" s="316"/>
      <c r="J12" s="316"/>
      <c r="K12" s="316"/>
      <c r="L12" s="316"/>
      <c r="M12" s="316"/>
      <c r="N12" s="316"/>
      <c r="O12" s="316"/>
      <c r="P12" s="316"/>
      <c r="Q12" s="316"/>
      <c r="R12" s="316"/>
      <c r="S12" s="316"/>
      <c r="T12" s="316"/>
      <c r="U12" s="316"/>
      <c r="V12" s="316"/>
      <c r="W12" s="316"/>
      <c r="X12" s="316"/>
      <c r="Y12" s="316"/>
      <c r="Z12" s="316"/>
      <c r="AA12" s="316"/>
      <c r="AB12" s="316"/>
      <c r="AC12" s="317"/>
    </row>
    <row r="13" spans="1:29" ht="26.25" customHeight="1">
      <c r="A13" s="564" t="s">
        <v>966</v>
      </c>
      <c r="B13" s="565"/>
      <c r="C13" s="565"/>
      <c r="D13" s="565"/>
      <c r="E13" s="566"/>
      <c r="F13" s="269"/>
      <c r="G13" s="270"/>
      <c r="H13" s="270"/>
      <c r="I13" s="270"/>
      <c r="J13" s="270"/>
      <c r="K13" s="270"/>
      <c r="L13" s="270"/>
      <c r="M13" s="270"/>
      <c r="N13" s="270"/>
      <c r="O13" s="270"/>
      <c r="P13" s="270"/>
      <c r="Q13" s="270"/>
      <c r="R13" s="270"/>
      <c r="S13" s="270"/>
      <c r="T13" s="270"/>
      <c r="U13" s="270"/>
      <c r="V13" s="270"/>
      <c r="W13" s="270"/>
      <c r="X13" s="270"/>
      <c r="Y13" s="270"/>
      <c r="Z13" s="270"/>
      <c r="AA13" s="270"/>
      <c r="AB13" s="270"/>
      <c r="AC13" s="271"/>
    </row>
    <row r="14" spans="1:29" ht="26.25" customHeight="1">
      <c r="A14" s="564" t="s">
        <v>962</v>
      </c>
      <c r="B14" s="565"/>
      <c r="C14" s="565"/>
      <c r="D14" s="565"/>
      <c r="E14" s="566"/>
      <c r="F14" s="269"/>
      <c r="G14" s="270"/>
      <c r="H14" s="270"/>
      <c r="I14" s="270"/>
      <c r="J14" s="270"/>
      <c r="K14" s="270"/>
      <c r="L14" s="270"/>
      <c r="M14" s="270"/>
      <c r="N14" s="270"/>
      <c r="O14" s="270"/>
      <c r="P14" s="270"/>
      <c r="Q14" s="270"/>
      <c r="R14" s="270"/>
      <c r="S14" s="270"/>
      <c r="T14" s="270"/>
      <c r="U14" s="270"/>
      <c r="V14" s="270"/>
      <c r="W14" s="270"/>
      <c r="X14" s="270"/>
      <c r="Y14" s="270"/>
      <c r="Z14" s="270"/>
      <c r="AA14" s="270"/>
      <c r="AB14" s="270"/>
      <c r="AC14" s="271"/>
    </row>
    <row r="15" spans="1:29" ht="26.25" customHeight="1">
      <c r="A15" s="564" t="s">
        <v>946</v>
      </c>
      <c r="B15" s="565"/>
      <c r="C15" s="565"/>
      <c r="D15" s="565"/>
      <c r="E15" s="566"/>
      <c r="F15" s="269"/>
      <c r="G15" s="270"/>
      <c r="H15" s="270"/>
      <c r="I15" s="270"/>
      <c r="J15" s="270"/>
      <c r="K15" s="270"/>
      <c r="L15" s="270"/>
      <c r="M15" s="270"/>
      <c r="N15" s="270"/>
      <c r="O15" s="270"/>
      <c r="P15" s="270"/>
      <c r="Q15" s="270"/>
      <c r="R15" s="270"/>
      <c r="S15" s="270"/>
      <c r="T15" s="270"/>
      <c r="U15" s="270"/>
      <c r="V15" s="270"/>
      <c r="W15" s="270"/>
      <c r="X15" s="270"/>
      <c r="Y15" s="270"/>
      <c r="Z15" s="270"/>
      <c r="AA15" s="270"/>
      <c r="AB15" s="270"/>
      <c r="AC15" s="271"/>
    </row>
    <row r="16" spans="1:29" ht="26.25" customHeight="1">
      <c r="A16" s="567" t="s">
        <v>355</v>
      </c>
      <c r="B16" s="567"/>
      <c r="C16" s="567"/>
      <c r="D16" s="567"/>
      <c r="E16" s="567"/>
      <c r="F16" s="272"/>
      <c r="G16" s="272"/>
      <c r="H16" s="272"/>
      <c r="I16" s="272"/>
      <c r="J16" s="272"/>
      <c r="K16" s="272"/>
      <c r="L16" s="272"/>
      <c r="M16" s="272"/>
      <c r="N16" s="272"/>
      <c r="O16" s="272"/>
      <c r="P16" s="272"/>
      <c r="Q16" s="272"/>
      <c r="R16" s="272"/>
      <c r="S16" s="272"/>
      <c r="T16" s="272"/>
      <c r="U16" s="272"/>
      <c r="V16" s="272"/>
      <c r="W16" s="272"/>
      <c r="X16" s="272"/>
      <c r="Y16" s="272"/>
      <c r="Z16" s="272"/>
      <c r="AA16" s="272"/>
      <c r="AB16" s="272"/>
      <c r="AC16" s="272"/>
    </row>
    <row r="17" spans="1:29" ht="26.25" customHeight="1" thickBot="1">
      <c r="A17" s="572" t="s">
        <v>356</v>
      </c>
      <c r="B17" s="572"/>
      <c r="C17" s="572"/>
      <c r="D17" s="572"/>
      <c r="E17" s="572"/>
      <c r="F17" s="307"/>
      <c r="G17" s="307"/>
      <c r="H17" s="307"/>
      <c r="I17" s="307"/>
      <c r="J17" s="307"/>
      <c r="K17" s="307"/>
      <c r="L17" s="307"/>
      <c r="M17" s="307"/>
      <c r="N17" s="307"/>
      <c r="O17" s="307"/>
      <c r="P17" s="307"/>
      <c r="Q17" s="307"/>
      <c r="R17" s="307"/>
      <c r="S17" s="307"/>
      <c r="T17" s="307"/>
      <c r="U17" s="307"/>
      <c r="V17" s="307"/>
      <c r="W17" s="307"/>
      <c r="X17" s="307"/>
      <c r="Y17" s="307"/>
      <c r="Z17" s="307"/>
      <c r="AA17" s="307"/>
      <c r="AB17" s="307"/>
      <c r="AC17" s="307"/>
    </row>
    <row r="18" spans="1:29" ht="26.25" customHeight="1" thickTop="1">
      <c r="A18" s="573" t="s">
        <v>1002</v>
      </c>
      <c r="B18" s="574"/>
      <c r="C18" s="574"/>
      <c r="D18" s="574"/>
      <c r="E18" s="574"/>
      <c r="F18" s="265"/>
      <c r="G18" s="266"/>
      <c r="H18" s="266"/>
      <c r="I18" s="266"/>
      <c r="J18" s="266"/>
      <c r="K18" s="266"/>
      <c r="L18" s="266"/>
      <c r="M18" s="266"/>
      <c r="N18" s="266"/>
      <c r="O18" s="266"/>
      <c r="P18" s="266"/>
      <c r="Q18" s="268"/>
      <c r="R18" s="578" t="s">
        <v>22</v>
      </c>
      <c r="S18" s="579"/>
      <c r="T18" s="580"/>
      <c r="U18" s="265"/>
      <c r="V18" s="266"/>
      <c r="W18" s="266"/>
      <c r="X18" s="266"/>
      <c r="Y18" s="266"/>
      <c r="Z18" s="266"/>
      <c r="AA18" s="266"/>
      <c r="AB18" s="266"/>
      <c r="AC18" s="267"/>
    </row>
    <row r="19" spans="1:29" ht="26.25" customHeight="1">
      <c r="A19" s="291" t="s">
        <v>945</v>
      </c>
      <c r="B19" s="292"/>
      <c r="C19" s="292"/>
      <c r="D19" s="292"/>
      <c r="E19" s="293"/>
      <c r="F19" s="285" t="s">
        <v>361</v>
      </c>
      <c r="G19" s="308"/>
      <c r="H19" s="308"/>
      <c r="I19" s="308"/>
      <c r="J19" s="308"/>
      <c r="K19" s="308"/>
      <c r="L19" s="308"/>
      <c r="M19" s="308"/>
      <c r="N19" s="308"/>
      <c r="O19" s="244" t="s">
        <v>362</v>
      </c>
      <c r="P19" s="285" t="s">
        <v>363</v>
      </c>
      <c r="Q19" s="285"/>
      <c r="R19" s="310">
        <v>15000000</v>
      </c>
      <c r="S19" s="311"/>
      <c r="T19" s="311"/>
      <c r="U19" s="312"/>
      <c r="V19" s="285" t="s">
        <v>365</v>
      </c>
      <c r="W19" s="285"/>
      <c r="X19" s="285"/>
      <c r="Y19" s="285"/>
      <c r="Z19" s="285"/>
      <c r="AA19" s="285"/>
      <c r="AB19" s="285"/>
      <c r="AC19" s="286"/>
    </row>
    <row r="20" spans="1:29" ht="26.25" customHeight="1">
      <c r="A20" s="294"/>
      <c r="B20" s="295"/>
      <c r="C20" s="295"/>
      <c r="D20" s="295"/>
      <c r="E20" s="296"/>
      <c r="F20" s="275"/>
      <c r="G20" s="276"/>
      <c r="H20" s="276"/>
      <c r="I20" s="276"/>
      <c r="J20" s="276"/>
      <c r="K20" s="276"/>
      <c r="L20" s="276"/>
      <c r="M20" s="276"/>
      <c r="N20" s="276"/>
      <c r="O20" s="243"/>
      <c r="P20" s="302"/>
      <c r="Q20" s="302"/>
      <c r="R20" s="301"/>
      <c r="S20" s="301"/>
      <c r="T20" s="301"/>
      <c r="U20" s="301"/>
      <c r="V20" s="287"/>
      <c r="W20" s="287"/>
      <c r="X20" s="287"/>
      <c r="Y20" s="287"/>
      <c r="Z20" s="287"/>
      <c r="AA20" s="287"/>
      <c r="AB20" s="287"/>
      <c r="AC20" s="288"/>
    </row>
    <row r="21" spans="1:29" ht="26.25" customHeight="1">
      <c r="A21" s="294"/>
      <c r="B21" s="295"/>
      <c r="C21" s="295"/>
      <c r="D21" s="295"/>
      <c r="E21" s="296"/>
      <c r="F21" s="272"/>
      <c r="G21" s="309"/>
      <c r="H21" s="309"/>
      <c r="I21" s="309"/>
      <c r="J21" s="309"/>
      <c r="K21" s="309"/>
      <c r="L21" s="309"/>
      <c r="M21" s="309"/>
      <c r="N21" s="309"/>
      <c r="O21" s="227"/>
      <c r="P21" s="303"/>
      <c r="Q21" s="303"/>
      <c r="R21" s="300"/>
      <c r="S21" s="300"/>
      <c r="T21" s="300"/>
      <c r="U21" s="300"/>
      <c r="V21" s="289"/>
      <c r="W21" s="289"/>
      <c r="X21" s="289"/>
      <c r="Y21" s="289"/>
      <c r="Z21" s="289"/>
      <c r="AA21" s="289"/>
      <c r="AB21" s="289"/>
      <c r="AC21" s="290"/>
    </row>
    <row r="22" spans="1:29" ht="26.25" customHeight="1">
      <c r="A22" s="294"/>
      <c r="B22" s="295"/>
      <c r="C22" s="295"/>
      <c r="D22" s="295"/>
      <c r="E22" s="296"/>
      <c r="F22" s="275"/>
      <c r="G22" s="276"/>
      <c r="H22" s="276"/>
      <c r="I22" s="276"/>
      <c r="J22" s="276"/>
      <c r="K22" s="276"/>
      <c r="L22" s="276"/>
      <c r="M22" s="276"/>
      <c r="N22" s="276"/>
      <c r="O22" s="243"/>
      <c r="P22" s="302"/>
      <c r="Q22" s="302"/>
      <c r="R22" s="301"/>
      <c r="S22" s="301"/>
      <c r="T22" s="301"/>
      <c r="U22" s="301"/>
      <c r="V22" s="287"/>
      <c r="W22" s="287"/>
      <c r="X22" s="287"/>
      <c r="Y22" s="287"/>
      <c r="Z22" s="287"/>
      <c r="AA22" s="287"/>
      <c r="AB22" s="287"/>
      <c r="AC22" s="288"/>
    </row>
    <row r="23" spans="1:29" ht="26.25" customHeight="1">
      <c r="A23" s="294"/>
      <c r="B23" s="295"/>
      <c r="C23" s="295"/>
      <c r="D23" s="295"/>
      <c r="E23" s="296"/>
      <c r="F23" s="272"/>
      <c r="G23" s="309"/>
      <c r="H23" s="309"/>
      <c r="I23" s="309"/>
      <c r="J23" s="309"/>
      <c r="K23" s="309"/>
      <c r="L23" s="309"/>
      <c r="M23" s="309"/>
      <c r="N23" s="309"/>
      <c r="O23" s="227"/>
      <c r="P23" s="303"/>
      <c r="Q23" s="303"/>
      <c r="R23" s="300"/>
      <c r="S23" s="300"/>
      <c r="T23" s="300"/>
      <c r="U23" s="300"/>
      <c r="V23" s="289"/>
      <c r="W23" s="289"/>
      <c r="X23" s="289"/>
      <c r="Y23" s="289"/>
      <c r="Z23" s="289"/>
      <c r="AA23" s="289"/>
      <c r="AB23" s="289"/>
      <c r="AC23" s="290"/>
    </row>
    <row r="24" spans="1:29" ht="26.25" customHeight="1">
      <c r="A24" s="294"/>
      <c r="B24" s="295"/>
      <c r="C24" s="295"/>
      <c r="D24" s="295"/>
      <c r="E24" s="296"/>
      <c r="F24" s="275"/>
      <c r="G24" s="276"/>
      <c r="H24" s="276"/>
      <c r="I24" s="276"/>
      <c r="J24" s="276"/>
      <c r="K24" s="276"/>
      <c r="L24" s="276"/>
      <c r="M24" s="276"/>
      <c r="N24" s="276"/>
      <c r="O24" s="243"/>
      <c r="P24" s="302"/>
      <c r="Q24" s="302"/>
      <c r="R24" s="301"/>
      <c r="S24" s="301"/>
      <c r="T24" s="301"/>
      <c r="U24" s="301"/>
      <c r="V24" s="287"/>
      <c r="W24" s="287"/>
      <c r="X24" s="287"/>
      <c r="Y24" s="287"/>
      <c r="Z24" s="287"/>
      <c r="AA24" s="287"/>
      <c r="AB24" s="287"/>
      <c r="AC24" s="288"/>
    </row>
    <row r="25" spans="1:29" ht="26.25" customHeight="1">
      <c r="A25" s="294"/>
      <c r="B25" s="295"/>
      <c r="C25" s="295"/>
      <c r="D25" s="295"/>
      <c r="E25" s="296"/>
      <c r="F25" s="332" t="s">
        <v>366</v>
      </c>
      <c r="G25" s="332"/>
      <c r="H25" s="332"/>
      <c r="I25" s="332"/>
      <c r="J25" s="332"/>
      <c r="K25" s="332"/>
      <c r="L25" s="332"/>
      <c r="M25" s="332"/>
      <c r="N25" s="332"/>
      <c r="O25" s="332"/>
      <c r="P25" s="332"/>
      <c r="Q25" s="332"/>
      <c r="R25" s="332"/>
      <c r="S25" s="332"/>
      <c r="T25" s="332"/>
      <c r="U25" s="332"/>
      <c r="V25" s="334">
        <f>SUM(V20:AC24)</f>
        <v>0</v>
      </c>
      <c r="W25" s="335"/>
      <c r="X25" s="335"/>
      <c r="Y25" s="335"/>
      <c r="Z25" s="335"/>
      <c r="AA25" s="335"/>
      <c r="AB25" s="335"/>
      <c r="AC25" s="336"/>
    </row>
    <row r="26" spans="1:29" ht="26.25" customHeight="1" thickBot="1">
      <c r="A26" s="297"/>
      <c r="B26" s="298"/>
      <c r="C26" s="298"/>
      <c r="D26" s="298"/>
      <c r="E26" s="299"/>
      <c r="F26" s="333" t="s">
        <v>367</v>
      </c>
      <c r="G26" s="333"/>
      <c r="H26" s="333"/>
      <c r="I26" s="333"/>
      <c r="J26" s="333"/>
      <c r="K26" s="333"/>
      <c r="L26" s="333"/>
      <c r="M26" s="333"/>
      <c r="N26" s="333"/>
      <c r="O26" s="333"/>
      <c r="P26" s="333"/>
      <c r="Q26" s="333"/>
      <c r="R26" s="333"/>
      <c r="S26" s="333"/>
      <c r="T26" s="333"/>
      <c r="U26" s="333"/>
      <c r="V26" s="337">
        <f>V25*1.1</f>
        <v>0</v>
      </c>
      <c r="W26" s="338"/>
      <c r="X26" s="338"/>
      <c r="Y26" s="338"/>
      <c r="Z26" s="338"/>
      <c r="AA26" s="338"/>
      <c r="AB26" s="338"/>
      <c r="AC26" s="339"/>
    </row>
    <row r="27" spans="1:29" ht="20.100000000000001" customHeight="1" thickTop="1">
      <c r="A27" s="283" t="s">
        <v>368</v>
      </c>
      <c r="B27" s="283"/>
      <c r="C27" s="283"/>
      <c r="D27" s="283"/>
      <c r="E27" s="283"/>
      <c r="F27" s="277"/>
      <c r="G27" s="278"/>
      <c r="H27" s="278"/>
      <c r="I27" s="278"/>
      <c r="J27" s="278"/>
      <c r="K27" s="278"/>
      <c r="L27" s="278"/>
      <c r="M27" s="278"/>
      <c r="N27" s="278"/>
      <c r="O27" s="278"/>
      <c r="P27" s="278"/>
      <c r="Q27" s="278"/>
      <c r="R27" s="278"/>
      <c r="S27" s="278"/>
      <c r="T27" s="278"/>
      <c r="U27" s="278"/>
      <c r="V27" s="278"/>
      <c r="W27" s="278"/>
      <c r="X27" s="278"/>
      <c r="Y27" s="278"/>
      <c r="Z27" s="278"/>
      <c r="AA27" s="278"/>
      <c r="AB27" s="278"/>
      <c r="AC27" s="279"/>
    </row>
    <row r="28" spans="1:29" ht="20.100000000000001" customHeight="1">
      <c r="A28" s="284"/>
      <c r="B28" s="284"/>
      <c r="C28" s="284"/>
      <c r="D28" s="284"/>
      <c r="E28" s="284"/>
      <c r="F28" s="277"/>
      <c r="G28" s="278"/>
      <c r="H28" s="278"/>
      <c r="I28" s="278"/>
      <c r="J28" s="278"/>
      <c r="K28" s="278"/>
      <c r="L28" s="278"/>
      <c r="M28" s="278"/>
      <c r="N28" s="278"/>
      <c r="O28" s="278"/>
      <c r="P28" s="278"/>
      <c r="Q28" s="278"/>
      <c r="R28" s="278"/>
      <c r="S28" s="278"/>
      <c r="T28" s="278"/>
      <c r="U28" s="278"/>
      <c r="V28" s="278"/>
      <c r="W28" s="278"/>
      <c r="X28" s="278"/>
      <c r="Y28" s="278"/>
      <c r="Z28" s="278"/>
      <c r="AA28" s="278"/>
      <c r="AB28" s="278"/>
      <c r="AC28" s="279"/>
    </row>
    <row r="29" spans="1:29" ht="20.100000000000001" customHeight="1">
      <c r="A29" s="284"/>
      <c r="B29" s="284"/>
      <c r="C29" s="284"/>
      <c r="D29" s="284"/>
      <c r="E29" s="284"/>
      <c r="F29" s="277"/>
      <c r="G29" s="278"/>
      <c r="H29" s="278"/>
      <c r="I29" s="278"/>
      <c r="J29" s="278"/>
      <c r="K29" s="278"/>
      <c r="L29" s="278"/>
      <c r="M29" s="278"/>
      <c r="N29" s="278"/>
      <c r="O29" s="278"/>
      <c r="P29" s="278"/>
      <c r="Q29" s="278"/>
      <c r="R29" s="278"/>
      <c r="S29" s="278"/>
      <c r="T29" s="278"/>
      <c r="U29" s="278"/>
      <c r="V29" s="278"/>
      <c r="W29" s="278"/>
      <c r="X29" s="278"/>
      <c r="Y29" s="278"/>
      <c r="Z29" s="278"/>
      <c r="AA29" s="278"/>
      <c r="AB29" s="278"/>
      <c r="AC29" s="279"/>
    </row>
    <row r="30" spans="1:29" ht="20.100000000000001" customHeight="1">
      <c r="A30" s="284"/>
      <c r="B30" s="284"/>
      <c r="C30" s="284"/>
      <c r="D30" s="284"/>
      <c r="E30" s="284"/>
      <c r="F30" s="280"/>
      <c r="G30" s="281"/>
      <c r="H30" s="281"/>
      <c r="I30" s="281"/>
      <c r="J30" s="281"/>
      <c r="K30" s="281"/>
      <c r="L30" s="281"/>
      <c r="M30" s="281"/>
      <c r="N30" s="281"/>
      <c r="O30" s="281"/>
      <c r="P30" s="281"/>
      <c r="Q30" s="281"/>
      <c r="R30" s="281"/>
      <c r="S30" s="281"/>
      <c r="T30" s="281"/>
      <c r="U30" s="281"/>
      <c r="V30" s="281"/>
      <c r="W30" s="281"/>
      <c r="X30" s="281"/>
      <c r="Y30" s="281"/>
      <c r="Z30" s="281"/>
      <c r="AA30" s="281"/>
      <c r="AB30" s="281"/>
      <c r="AC30" s="282"/>
    </row>
    <row r="31" spans="1:29" ht="20.100000000000001" customHeight="1">
      <c r="A31" s="237"/>
      <c r="B31" s="237"/>
      <c r="C31" s="237"/>
      <c r="D31" s="237"/>
      <c r="E31" s="237"/>
      <c r="F31" s="237"/>
      <c r="G31" s="237"/>
      <c r="H31" s="237"/>
      <c r="I31" s="237"/>
      <c r="J31" s="237"/>
      <c r="K31" s="237"/>
      <c r="L31" s="237"/>
      <c r="M31" s="237"/>
      <c r="N31" s="237"/>
      <c r="O31" s="237"/>
      <c r="P31" s="237"/>
      <c r="Q31" s="237"/>
      <c r="R31" s="237"/>
      <c r="S31" s="237"/>
      <c r="T31" s="237"/>
      <c r="U31" s="237"/>
      <c r="V31" s="238"/>
      <c r="W31" s="238"/>
      <c r="X31" s="238"/>
      <c r="Y31" s="238"/>
    </row>
    <row r="32" spans="1:29" ht="20.100000000000001" customHeight="1">
      <c r="A32" s="237"/>
      <c r="B32" s="239"/>
      <c r="C32" s="239"/>
      <c r="D32" s="239"/>
      <c r="E32" s="239"/>
      <c r="F32" s="239"/>
      <c r="G32" s="239"/>
      <c r="H32" s="239"/>
      <c r="I32" s="239"/>
      <c r="J32" s="239"/>
      <c r="K32" s="239"/>
      <c r="L32" s="237"/>
      <c r="M32" s="237"/>
      <c r="N32" s="314" t="s">
        <v>953</v>
      </c>
      <c r="O32" s="314"/>
      <c r="P32" s="314"/>
      <c r="Q32" s="314"/>
      <c r="R32" s="314" t="s">
        <v>952</v>
      </c>
      <c r="S32" s="314"/>
      <c r="T32" s="314"/>
      <c r="U32" s="314"/>
      <c r="V32" s="313" t="s">
        <v>951</v>
      </c>
      <c r="W32" s="313"/>
      <c r="X32" s="313"/>
      <c r="Y32" s="313"/>
      <c r="Z32" s="313" t="s">
        <v>950</v>
      </c>
      <c r="AA32" s="313"/>
      <c r="AB32" s="313"/>
      <c r="AC32" s="313"/>
    </row>
    <row r="33" spans="1:33" ht="20.100000000000001" customHeight="1">
      <c r="A33" s="237"/>
      <c r="B33" s="237"/>
      <c r="C33" s="237"/>
      <c r="D33" s="237"/>
      <c r="E33" s="237"/>
      <c r="F33" s="237"/>
      <c r="G33" s="237"/>
      <c r="H33" s="237"/>
      <c r="I33" s="237"/>
      <c r="J33" s="237"/>
      <c r="K33" s="237"/>
      <c r="L33" s="237"/>
      <c r="M33" s="237"/>
      <c r="N33" s="314"/>
      <c r="O33" s="314"/>
      <c r="P33" s="314"/>
      <c r="Q33" s="314"/>
      <c r="R33" s="314"/>
      <c r="S33" s="314"/>
      <c r="T33" s="314"/>
      <c r="U33" s="314"/>
      <c r="V33" s="313"/>
      <c r="W33" s="313"/>
      <c r="X33" s="313"/>
      <c r="Y33" s="313"/>
      <c r="Z33" s="313"/>
      <c r="AA33" s="313"/>
      <c r="AB33" s="313"/>
      <c r="AC33" s="313"/>
    </row>
    <row r="34" spans="1:33" ht="20.100000000000001" customHeight="1">
      <c r="A34" s="237"/>
      <c r="B34" s="237"/>
      <c r="C34" s="237"/>
      <c r="D34" s="237"/>
      <c r="E34" s="237"/>
      <c r="F34" s="237"/>
      <c r="G34" s="237"/>
      <c r="H34" s="237"/>
      <c r="I34" s="237"/>
      <c r="J34" s="237"/>
      <c r="K34" s="237"/>
      <c r="L34" s="237"/>
      <c r="N34" s="314"/>
      <c r="O34" s="314"/>
      <c r="P34" s="314"/>
      <c r="Q34" s="314"/>
      <c r="R34" s="314"/>
      <c r="S34" s="314"/>
      <c r="T34" s="314"/>
      <c r="U34" s="314"/>
      <c r="V34" s="313"/>
      <c r="W34" s="313"/>
      <c r="X34" s="313"/>
      <c r="Y34" s="313"/>
      <c r="Z34" s="313"/>
      <c r="AA34" s="313"/>
      <c r="AB34" s="313"/>
      <c r="AC34" s="313"/>
    </row>
    <row r="35" spans="1:33" ht="20.100000000000001" customHeight="1">
      <c r="A35" s="237"/>
      <c r="B35" s="237"/>
      <c r="C35" s="237"/>
      <c r="D35" s="237"/>
      <c r="E35" s="237"/>
      <c r="F35" s="237"/>
      <c r="G35" s="237"/>
      <c r="H35" s="237"/>
      <c r="I35" s="237"/>
      <c r="J35" s="237"/>
      <c r="K35" s="237"/>
      <c r="L35" s="237"/>
      <c r="N35" s="314"/>
      <c r="O35" s="314"/>
      <c r="P35" s="314"/>
      <c r="Q35" s="314"/>
      <c r="R35" s="314"/>
      <c r="S35" s="314"/>
      <c r="T35" s="314"/>
      <c r="U35" s="314"/>
      <c r="V35" s="313"/>
      <c r="W35" s="313"/>
      <c r="X35" s="313"/>
      <c r="Y35" s="313"/>
      <c r="Z35" s="313"/>
      <c r="AA35" s="313"/>
      <c r="AB35" s="313"/>
      <c r="AC35" s="313"/>
    </row>
    <row r="36" spans="1:33" ht="20.100000000000001" customHeight="1">
      <c r="A36" s="237"/>
      <c r="B36" s="237"/>
      <c r="C36" s="237"/>
      <c r="D36" s="237"/>
      <c r="E36" s="237"/>
      <c r="F36" s="237"/>
      <c r="G36" s="237"/>
      <c r="H36" s="237"/>
      <c r="I36" s="237"/>
      <c r="J36" s="237"/>
      <c r="K36" s="237"/>
      <c r="L36" s="237"/>
      <c r="M36" s="237"/>
      <c r="N36" s="314"/>
      <c r="O36" s="314"/>
      <c r="P36" s="314"/>
      <c r="Q36" s="314"/>
      <c r="R36" s="314"/>
      <c r="S36" s="314"/>
      <c r="T36" s="314"/>
      <c r="U36" s="314"/>
      <c r="V36" s="313"/>
      <c r="W36" s="313"/>
      <c r="X36" s="313"/>
      <c r="Y36" s="313"/>
      <c r="Z36" s="313"/>
      <c r="AA36" s="313"/>
      <c r="AB36" s="313"/>
      <c r="AC36" s="313"/>
    </row>
    <row r="37" spans="1:33" ht="20.100000000000001" customHeight="1">
      <c r="A37" s="237"/>
      <c r="B37" s="237"/>
      <c r="C37" s="237"/>
      <c r="D37" s="237"/>
      <c r="E37" s="237"/>
      <c r="F37" s="237"/>
      <c r="G37" s="237"/>
      <c r="H37" s="237"/>
      <c r="I37" s="237"/>
      <c r="J37" s="237"/>
      <c r="K37" s="237"/>
      <c r="L37" s="237"/>
      <c r="M37" s="274"/>
      <c r="N37" s="273"/>
      <c r="O37" s="274"/>
      <c r="P37" s="273"/>
      <c r="Q37" s="273"/>
      <c r="R37" s="240"/>
      <c r="S37" s="274"/>
      <c r="T37" s="273"/>
      <c r="U37" s="273"/>
    </row>
    <row r="38" spans="1:33" ht="20.100000000000001" customHeight="1">
      <c r="A38" s="314" t="s">
        <v>954</v>
      </c>
      <c r="B38" s="314"/>
      <c r="C38" s="314"/>
      <c r="D38" s="314"/>
      <c r="E38" s="314"/>
      <c r="F38" s="314"/>
      <c r="G38" s="314"/>
      <c r="H38" s="314"/>
      <c r="I38" s="314"/>
      <c r="J38" s="314"/>
      <c r="K38" s="314"/>
      <c r="L38" s="314"/>
      <c r="M38" s="314"/>
      <c r="N38" s="314"/>
      <c r="O38" s="314" t="s">
        <v>957</v>
      </c>
      <c r="P38" s="314"/>
      <c r="Q38" s="314"/>
      <c r="R38" s="314"/>
      <c r="S38" s="314"/>
      <c r="T38" s="314"/>
      <c r="U38" s="314"/>
      <c r="V38" s="314"/>
      <c r="W38" s="314"/>
      <c r="X38" s="314"/>
      <c r="Y38" s="314"/>
      <c r="Z38" s="314"/>
      <c r="AA38" s="314"/>
      <c r="AB38" s="314"/>
      <c r="AC38" s="314"/>
      <c r="AD38" s="340" t="s">
        <v>958</v>
      </c>
      <c r="AE38" s="341"/>
      <c r="AF38" s="341"/>
      <c r="AG38" s="341"/>
    </row>
    <row r="39" spans="1:33" ht="20.100000000000001" customHeight="1">
      <c r="A39" s="342" t="s">
        <v>955</v>
      </c>
      <c r="B39" s="342"/>
      <c r="C39" s="342"/>
      <c r="D39" s="342"/>
      <c r="E39" s="342"/>
      <c r="F39" s="314"/>
      <c r="G39" s="314"/>
      <c r="H39" s="314"/>
      <c r="I39" s="314"/>
      <c r="J39" s="314"/>
      <c r="K39" s="314"/>
      <c r="L39" s="314"/>
      <c r="M39" s="314"/>
      <c r="N39" s="314"/>
      <c r="O39" s="314" t="s">
        <v>957</v>
      </c>
      <c r="P39" s="314"/>
      <c r="Q39" s="314"/>
      <c r="R39" s="314"/>
      <c r="S39" s="314"/>
      <c r="T39" s="314"/>
      <c r="U39" s="314"/>
      <c r="V39" s="314"/>
      <c r="W39" s="314"/>
      <c r="X39" s="314"/>
      <c r="Y39" s="314"/>
      <c r="Z39" s="314"/>
      <c r="AA39" s="314"/>
      <c r="AB39" s="314"/>
      <c r="AC39" s="314"/>
      <c r="AD39" s="340" t="s">
        <v>958</v>
      </c>
      <c r="AE39" s="341"/>
      <c r="AF39" s="341"/>
      <c r="AG39" s="341"/>
    </row>
    <row r="40" spans="1:33" ht="20.100000000000001" customHeight="1">
      <c r="A40" s="237"/>
      <c r="B40" s="237"/>
      <c r="C40" s="237"/>
      <c r="D40" s="237"/>
      <c r="E40" s="237"/>
      <c r="F40" s="237"/>
      <c r="G40" s="237"/>
      <c r="H40" s="237"/>
      <c r="I40" s="237"/>
      <c r="J40" s="237"/>
      <c r="K40" s="237"/>
      <c r="L40" s="237"/>
      <c r="M40" s="273"/>
      <c r="N40" s="273"/>
      <c r="O40" s="273"/>
      <c r="P40" s="273"/>
      <c r="Q40" s="273"/>
      <c r="R40" s="237"/>
      <c r="S40" s="273"/>
      <c r="T40" s="273"/>
      <c r="U40" s="273"/>
    </row>
    <row r="42" spans="1:33" s="242" customFormat="1" ht="20.100000000000001" customHeight="1">
      <c r="A42" s="304" t="s">
        <v>353</v>
      </c>
      <c r="B42" s="305"/>
      <c r="C42" s="305"/>
      <c r="D42" s="305"/>
      <c r="E42" s="241"/>
      <c r="F42" s="306"/>
      <c r="G42" s="305"/>
      <c r="H42" s="305"/>
      <c r="I42" s="305"/>
      <c r="J42" s="305"/>
      <c r="K42" s="305"/>
      <c r="L42" s="305"/>
      <c r="M42" s="305"/>
      <c r="N42" s="305"/>
      <c r="O42" s="305"/>
      <c r="P42" s="305"/>
      <c r="Q42" s="225" t="s">
        <v>354</v>
      </c>
      <c r="R42" s="306"/>
      <c r="S42" s="305"/>
      <c r="T42" s="305"/>
      <c r="U42" s="305"/>
    </row>
  </sheetData>
  <mergeCells count="89">
    <mergeCell ref="AD38:AG38"/>
    <mergeCell ref="AD39:AG39"/>
    <mergeCell ref="A39:E39"/>
    <mergeCell ref="A38:E38"/>
    <mergeCell ref="F38:N38"/>
    <mergeCell ref="F39:N39"/>
    <mergeCell ref="O38:AC38"/>
    <mergeCell ref="O39:AC39"/>
    <mergeCell ref="P24:Q24"/>
    <mergeCell ref="P19:Q19"/>
    <mergeCell ref="R20:U20"/>
    <mergeCell ref="R21:U21"/>
    <mergeCell ref="R22:U22"/>
    <mergeCell ref="V32:Y32"/>
    <mergeCell ref="R32:U32"/>
    <mergeCell ref="N32:Q32"/>
    <mergeCell ref="F25:U25"/>
    <mergeCell ref="F26:U26"/>
    <mergeCell ref="V25:AC25"/>
    <mergeCell ref="V26:AC26"/>
    <mergeCell ref="A1:AC1"/>
    <mergeCell ref="A8:E8"/>
    <mergeCell ref="F8:AC8"/>
    <mergeCell ref="F9:AC9"/>
    <mergeCell ref="A4:E4"/>
    <mergeCell ref="F4:AC4"/>
    <mergeCell ref="A7:E7"/>
    <mergeCell ref="F7:AC7"/>
    <mergeCell ref="F6:AC6"/>
    <mergeCell ref="A3:AC3"/>
    <mergeCell ref="A9:E9"/>
    <mergeCell ref="A5:E5"/>
    <mergeCell ref="F5:AC5"/>
    <mergeCell ref="A10:E10"/>
    <mergeCell ref="F10:AC10"/>
    <mergeCell ref="F11:AC11"/>
    <mergeCell ref="F15:AC15"/>
    <mergeCell ref="F12:AC12"/>
    <mergeCell ref="A11:E11"/>
    <mergeCell ref="A13:E13"/>
    <mergeCell ref="A12:E12"/>
    <mergeCell ref="A15:E15"/>
    <mergeCell ref="A42:D42"/>
    <mergeCell ref="F42:P42"/>
    <mergeCell ref="R42:U42"/>
    <mergeCell ref="F17:AC17"/>
    <mergeCell ref="F19:N19"/>
    <mergeCell ref="F20:N20"/>
    <mergeCell ref="F21:N21"/>
    <mergeCell ref="F22:N22"/>
    <mergeCell ref="A17:E17"/>
    <mergeCell ref="R19:U19"/>
    <mergeCell ref="Z33:AC36"/>
    <mergeCell ref="V33:Y36"/>
    <mergeCell ref="R33:U36"/>
    <mergeCell ref="N33:Q36"/>
    <mergeCell ref="F23:N23"/>
    <mergeCell ref="Z32:AC32"/>
    <mergeCell ref="F24:N24"/>
    <mergeCell ref="F27:AC30"/>
    <mergeCell ref="A27:E30"/>
    <mergeCell ref="V19:AC19"/>
    <mergeCell ref="V20:AC20"/>
    <mergeCell ref="V21:AC21"/>
    <mergeCell ref="V22:AC22"/>
    <mergeCell ref="V23:AC23"/>
    <mergeCell ref="V24:AC24"/>
    <mergeCell ref="A19:E26"/>
    <mergeCell ref="R23:U23"/>
    <mergeCell ref="R24:U24"/>
    <mergeCell ref="P20:Q20"/>
    <mergeCell ref="P21:Q21"/>
    <mergeCell ref="P22:Q22"/>
    <mergeCell ref="P23:Q23"/>
    <mergeCell ref="M40:N40"/>
    <mergeCell ref="O40:Q40"/>
    <mergeCell ref="S40:U40"/>
    <mergeCell ref="M37:N37"/>
    <mergeCell ref="O37:Q37"/>
    <mergeCell ref="S37:U37"/>
    <mergeCell ref="R18:T18"/>
    <mergeCell ref="U18:AC18"/>
    <mergeCell ref="F18:Q18"/>
    <mergeCell ref="A14:E14"/>
    <mergeCell ref="F13:AC13"/>
    <mergeCell ref="F14:AC14"/>
    <mergeCell ref="A18:E18"/>
    <mergeCell ref="F16:AC16"/>
    <mergeCell ref="A16:E16"/>
  </mergeCells>
  <phoneticPr fontId="5"/>
  <printOptions horizontalCentered="1" verticalCentered="1"/>
  <pageMargins left="0.31496062992125984" right="0.31496062992125984" top="0.15748031496062992" bottom="0.15748031496062992" header="0.31496062992125984" footer="0.31496062992125984"/>
  <pageSetup paperSize="9" scale="91"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E719-B291-4C27-ACCE-D03ED2472294}">
  <sheetPr codeName="Sheet5">
    <pageSetUpPr fitToPage="1"/>
  </sheetPr>
  <dimension ref="A1:V34"/>
  <sheetViews>
    <sheetView view="pageBreakPreview" zoomScale="85" zoomScaleNormal="100" zoomScaleSheetLayoutView="85" workbookViewId="0">
      <selection activeCell="F21" sqref="F21:T24"/>
    </sheetView>
  </sheetViews>
  <sheetFormatPr defaultColWidth="8.85546875" defaultRowHeight="13.5"/>
  <cols>
    <col min="1" max="1" width="1" style="56" customWidth="1"/>
    <col min="2" max="2" width="5.42578125" style="56" customWidth="1"/>
    <col min="3" max="4" width="14" style="56" customWidth="1"/>
    <col min="5" max="5" width="1" style="56" customWidth="1"/>
    <col min="6" max="6" width="4.140625" style="56" customWidth="1"/>
    <col min="7" max="7" width="2" style="56" customWidth="1"/>
    <col min="8" max="8" width="5.42578125" style="56" customWidth="1"/>
    <col min="9" max="9" width="14" style="56" customWidth="1"/>
    <col min="10" max="10" width="3" style="56" customWidth="1"/>
    <col min="11" max="11" width="6.42578125" style="56" customWidth="1"/>
    <col min="12" max="12" width="5.42578125" style="56" customWidth="1"/>
    <col min="13" max="13" width="10" style="56" customWidth="1"/>
    <col min="14" max="14" width="7" style="56" customWidth="1"/>
    <col min="15" max="15" width="5.42578125" style="56" customWidth="1"/>
    <col min="16" max="16" width="10.28515625" style="56" customWidth="1"/>
    <col min="17" max="17" width="15" style="56" customWidth="1"/>
    <col min="18" max="18" width="4" style="56" customWidth="1"/>
    <col min="19" max="19" width="10" style="56" customWidth="1"/>
    <col min="20" max="20" width="2" style="56" customWidth="1"/>
    <col min="21" max="16384" width="8.85546875" style="56"/>
  </cols>
  <sheetData>
    <row r="1" spans="1:20" ht="18" customHeight="1">
      <c r="Q1" s="75" t="s">
        <v>380</v>
      </c>
      <c r="R1" s="409">
        <v>307</v>
      </c>
      <c r="S1" s="409"/>
      <c r="T1" s="409"/>
    </row>
    <row r="2" spans="1:20" ht="4.1500000000000004" customHeight="1"/>
    <row r="3" spans="1:20" ht="37.9" customHeight="1">
      <c r="A3" s="415" t="s">
        <v>346</v>
      </c>
      <c r="B3" s="361"/>
      <c r="C3" s="361"/>
      <c r="D3" s="361"/>
      <c r="E3" s="361"/>
      <c r="F3" s="361"/>
      <c r="G3" s="361"/>
      <c r="H3" s="361"/>
      <c r="I3" s="361"/>
      <c r="J3" s="361"/>
      <c r="K3" s="361"/>
      <c r="L3" s="361"/>
      <c r="M3" s="361"/>
      <c r="N3" s="361"/>
      <c r="O3" s="361"/>
      <c r="P3" s="361"/>
      <c r="Q3" s="361"/>
      <c r="R3" s="361"/>
      <c r="S3" s="361"/>
      <c r="T3" s="361"/>
    </row>
    <row r="4" spans="1:20" ht="6" customHeight="1" thickBot="1"/>
    <row r="5" spans="1:20" ht="30" customHeight="1">
      <c r="A5" s="416" t="s">
        <v>347</v>
      </c>
      <c r="B5" s="392"/>
      <c r="C5" s="392"/>
      <c r="D5" s="392"/>
      <c r="E5" s="393"/>
      <c r="F5" s="419" t="s">
        <v>987</v>
      </c>
      <c r="G5" s="420"/>
      <c r="H5" s="420"/>
      <c r="I5" s="420"/>
      <c r="J5" s="420"/>
      <c r="K5" s="420"/>
      <c r="L5" s="420"/>
      <c r="M5" s="420"/>
      <c r="N5" s="420"/>
      <c r="O5" s="420"/>
      <c r="P5" s="420"/>
      <c r="Q5" s="420"/>
      <c r="R5" s="420"/>
      <c r="S5" s="420"/>
      <c r="T5" s="421"/>
    </row>
    <row r="6" spans="1:20" ht="30" customHeight="1">
      <c r="A6" s="387" t="s">
        <v>348</v>
      </c>
      <c r="B6" s="345"/>
      <c r="C6" s="345"/>
      <c r="D6" s="345"/>
      <c r="E6" s="344"/>
      <c r="F6" s="417" t="s">
        <v>381</v>
      </c>
      <c r="G6" s="418"/>
      <c r="H6" s="418"/>
      <c r="I6" s="418"/>
      <c r="J6" s="418"/>
      <c r="K6" s="418"/>
      <c r="L6" s="418"/>
      <c r="M6" s="418"/>
      <c r="N6" s="418"/>
      <c r="O6" s="418"/>
      <c r="P6" s="418"/>
      <c r="Q6" s="418"/>
      <c r="R6" s="418"/>
      <c r="S6" s="418"/>
      <c r="T6" s="413"/>
    </row>
    <row r="7" spans="1:20" ht="30" customHeight="1">
      <c r="A7" s="410" t="s">
        <v>349</v>
      </c>
      <c r="B7" s="345"/>
      <c r="C7" s="345"/>
      <c r="D7" s="345"/>
      <c r="E7" s="344"/>
      <c r="F7" s="411">
        <v>505150000</v>
      </c>
      <c r="G7" s="345"/>
      <c r="H7" s="345"/>
      <c r="I7" s="345"/>
      <c r="J7" s="345"/>
      <c r="K7" s="345"/>
      <c r="L7" s="77" t="s">
        <v>350</v>
      </c>
      <c r="M7" s="57"/>
      <c r="N7" s="58" t="s">
        <v>980</v>
      </c>
      <c r="O7" s="57"/>
      <c r="P7" s="57"/>
      <c r="Q7" s="57"/>
      <c r="R7" s="57"/>
      <c r="S7" s="57"/>
      <c r="T7" s="59"/>
    </row>
    <row r="8" spans="1:20" ht="30" customHeight="1">
      <c r="A8" s="387" t="s">
        <v>351</v>
      </c>
      <c r="B8" s="345"/>
      <c r="C8" s="345"/>
      <c r="D8" s="345"/>
      <c r="E8" s="344"/>
      <c r="F8" s="412" t="s">
        <v>988</v>
      </c>
      <c r="G8" s="345"/>
      <c r="H8" s="345"/>
      <c r="I8" s="345"/>
      <c r="J8" s="345"/>
      <c r="K8" s="345"/>
      <c r="L8" s="345"/>
      <c r="M8" s="345"/>
      <c r="N8" s="345"/>
      <c r="O8" s="344"/>
      <c r="P8" s="60" t="s">
        <v>352</v>
      </c>
      <c r="Q8" s="413" t="s">
        <v>989</v>
      </c>
      <c r="R8" s="345"/>
      <c r="S8" s="345"/>
      <c r="T8" s="351"/>
    </row>
    <row r="9" spans="1:20" ht="30" customHeight="1">
      <c r="A9" s="387" t="s">
        <v>353</v>
      </c>
      <c r="B9" s="345"/>
      <c r="C9" s="345"/>
      <c r="D9" s="345"/>
      <c r="E9" s="344"/>
      <c r="F9" s="414"/>
      <c r="G9" s="345"/>
      <c r="H9" s="345"/>
      <c r="I9" s="345"/>
      <c r="J9" s="345"/>
      <c r="K9" s="345"/>
      <c r="L9" s="345"/>
      <c r="M9" s="345"/>
      <c r="N9" s="345"/>
      <c r="O9" s="344"/>
      <c r="P9" s="60" t="s">
        <v>354</v>
      </c>
      <c r="Q9" s="413"/>
      <c r="R9" s="345"/>
      <c r="S9" s="345"/>
      <c r="T9" s="351"/>
    </row>
    <row r="10" spans="1:20" ht="30" customHeight="1">
      <c r="A10" s="387" t="s">
        <v>355</v>
      </c>
      <c r="B10" s="345"/>
      <c r="C10" s="345"/>
      <c r="D10" s="345"/>
      <c r="E10" s="344"/>
      <c r="F10" s="388" t="s">
        <v>384</v>
      </c>
      <c r="G10" s="345"/>
      <c r="H10" s="345"/>
      <c r="I10" s="345"/>
      <c r="J10" s="345"/>
      <c r="K10" s="345"/>
      <c r="L10" s="345"/>
      <c r="M10" s="345"/>
      <c r="N10" s="345"/>
      <c r="O10" s="345"/>
      <c r="P10" s="345"/>
      <c r="Q10" s="345"/>
      <c r="R10" s="345"/>
      <c r="S10" s="345"/>
      <c r="T10" s="351"/>
    </row>
    <row r="11" spans="1:20" ht="30" customHeight="1" thickBot="1">
      <c r="A11" s="389" t="s">
        <v>356</v>
      </c>
      <c r="B11" s="353"/>
      <c r="C11" s="353"/>
      <c r="D11" s="353"/>
      <c r="E11" s="354"/>
      <c r="F11" s="390" t="s">
        <v>386</v>
      </c>
      <c r="G11" s="353"/>
      <c r="H11" s="353"/>
      <c r="I11" s="353"/>
      <c r="J11" s="353"/>
      <c r="K11" s="353"/>
      <c r="L11" s="353"/>
      <c r="M11" s="353"/>
      <c r="N11" s="353"/>
      <c r="O11" s="353"/>
      <c r="P11" s="353"/>
      <c r="Q11" s="353"/>
      <c r="R11" s="353"/>
      <c r="S11" s="353"/>
      <c r="T11" s="356"/>
    </row>
    <row r="12" spans="1:20" ht="28.15" customHeight="1">
      <c r="A12" s="398" t="s">
        <v>393</v>
      </c>
      <c r="B12" s="399"/>
      <c r="C12" s="399"/>
      <c r="D12" s="399"/>
      <c r="E12" s="400"/>
      <c r="F12" s="396" t="s">
        <v>357</v>
      </c>
      <c r="G12" s="397"/>
      <c r="H12" s="391">
        <v>46113</v>
      </c>
      <c r="I12" s="392"/>
      <c r="J12" s="393"/>
      <c r="K12" s="61" t="s">
        <v>358</v>
      </c>
      <c r="L12" s="391">
        <v>46143</v>
      </c>
      <c r="M12" s="393"/>
      <c r="N12" s="61" t="s">
        <v>359</v>
      </c>
      <c r="O12" s="391">
        <v>46174</v>
      </c>
      <c r="P12" s="393"/>
      <c r="Q12" s="61" t="s">
        <v>360</v>
      </c>
      <c r="R12" s="394">
        <v>46204</v>
      </c>
      <c r="S12" s="392"/>
      <c r="T12" s="395"/>
    </row>
    <row r="13" spans="1:20" ht="24" customHeight="1">
      <c r="A13" s="401"/>
      <c r="B13" s="402"/>
      <c r="C13" s="402"/>
      <c r="D13" s="402"/>
      <c r="E13" s="403"/>
      <c r="F13" s="407" t="s">
        <v>361</v>
      </c>
      <c r="G13" s="345"/>
      <c r="H13" s="345"/>
      <c r="I13" s="345"/>
      <c r="J13" s="345"/>
      <c r="K13" s="345"/>
      <c r="L13" s="345"/>
      <c r="M13" s="344"/>
      <c r="N13" s="407" t="s">
        <v>362</v>
      </c>
      <c r="O13" s="344"/>
      <c r="P13" s="62" t="s">
        <v>363</v>
      </c>
      <c r="Q13" s="62" t="s">
        <v>364</v>
      </c>
      <c r="R13" s="408" t="s">
        <v>365</v>
      </c>
      <c r="S13" s="345"/>
      <c r="T13" s="351"/>
    </row>
    <row r="14" spans="1:20" ht="28.15" customHeight="1">
      <c r="A14" s="401"/>
      <c r="B14" s="402"/>
      <c r="C14" s="402"/>
      <c r="D14" s="402"/>
      <c r="E14" s="403"/>
      <c r="F14" s="384" t="s">
        <v>991</v>
      </c>
      <c r="G14" s="379"/>
      <c r="H14" s="379"/>
      <c r="I14" s="379"/>
      <c r="J14" s="379"/>
      <c r="K14" s="379"/>
      <c r="L14" s="379"/>
      <c r="M14" s="380"/>
      <c r="N14" s="385">
        <v>1</v>
      </c>
      <c r="O14" s="380"/>
      <c r="P14" s="63" t="s">
        <v>382</v>
      </c>
      <c r="Q14" s="64">
        <v>50000</v>
      </c>
      <c r="R14" s="386">
        <v>50000</v>
      </c>
      <c r="S14" s="379"/>
      <c r="T14" s="383"/>
    </row>
    <row r="15" spans="1:20" ht="28.15" customHeight="1">
      <c r="A15" s="401"/>
      <c r="B15" s="402"/>
      <c r="C15" s="402"/>
      <c r="D15" s="402"/>
      <c r="E15" s="403"/>
      <c r="F15" s="378" t="s">
        <v>992</v>
      </c>
      <c r="G15" s="379"/>
      <c r="H15" s="379"/>
      <c r="I15" s="379"/>
      <c r="J15" s="379"/>
      <c r="K15" s="379"/>
      <c r="L15" s="379"/>
      <c r="M15" s="380"/>
      <c r="N15" s="381">
        <v>1</v>
      </c>
      <c r="O15" s="380"/>
      <c r="P15" s="65" t="s">
        <v>993</v>
      </c>
      <c r="Q15" s="66">
        <v>500000000</v>
      </c>
      <c r="R15" s="382">
        <v>500000000</v>
      </c>
      <c r="S15" s="379"/>
      <c r="T15" s="383"/>
    </row>
    <row r="16" spans="1:20" ht="28.15" customHeight="1">
      <c r="A16" s="401"/>
      <c r="B16" s="402"/>
      <c r="C16" s="402"/>
      <c r="D16" s="402"/>
      <c r="E16" s="403"/>
      <c r="F16" s="384" t="s">
        <v>994</v>
      </c>
      <c r="G16" s="379"/>
      <c r="H16" s="379"/>
      <c r="I16" s="379"/>
      <c r="J16" s="379"/>
      <c r="K16" s="379"/>
      <c r="L16" s="379"/>
      <c r="M16" s="380"/>
      <c r="N16" s="385">
        <v>1</v>
      </c>
      <c r="O16" s="380"/>
      <c r="P16" s="63" t="s">
        <v>995</v>
      </c>
      <c r="Q16" s="64">
        <v>5000000</v>
      </c>
      <c r="R16" s="386">
        <v>5000000</v>
      </c>
      <c r="S16" s="379"/>
      <c r="T16" s="383"/>
    </row>
    <row r="17" spans="1:22" ht="28.15" customHeight="1">
      <c r="A17" s="401"/>
      <c r="B17" s="402"/>
      <c r="C17" s="402"/>
      <c r="D17" s="402"/>
      <c r="E17" s="403"/>
      <c r="F17" s="378" t="s">
        <v>996</v>
      </c>
      <c r="G17" s="379"/>
      <c r="H17" s="379"/>
      <c r="I17" s="379"/>
      <c r="J17" s="379"/>
      <c r="K17" s="379"/>
      <c r="L17" s="379"/>
      <c r="M17" s="380"/>
      <c r="N17" s="381">
        <v>0</v>
      </c>
      <c r="O17" s="380"/>
      <c r="P17" s="65" t="s">
        <v>995</v>
      </c>
      <c r="Q17" s="66">
        <v>50000</v>
      </c>
      <c r="R17" s="382">
        <v>50000</v>
      </c>
      <c r="S17" s="379"/>
      <c r="T17" s="383"/>
    </row>
    <row r="18" spans="1:22" ht="28.15" customHeight="1">
      <c r="A18" s="401"/>
      <c r="B18" s="402"/>
      <c r="C18" s="402"/>
      <c r="D18" s="402"/>
      <c r="E18" s="403"/>
      <c r="F18" s="384" t="s">
        <v>997</v>
      </c>
      <c r="G18" s="379"/>
      <c r="H18" s="379"/>
      <c r="I18" s="379"/>
      <c r="J18" s="379"/>
      <c r="K18" s="379"/>
      <c r="L18" s="379"/>
      <c r="M18" s="380"/>
      <c r="N18" s="385">
        <v>0</v>
      </c>
      <c r="O18" s="380"/>
      <c r="P18" s="63" t="s">
        <v>995</v>
      </c>
      <c r="Q18" s="64">
        <v>50000</v>
      </c>
      <c r="R18" s="386">
        <v>50000</v>
      </c>
      <c r="S18" s="379"/>
      <c r="T18" s="383"/>
    </row>
    <row r="19" spans="1:22" ht="25.9" customHeight="1">
      <c r="A19" s="401"/>
      <c r="B19" s="402"/>
      <c r="C19" s="402"/>
      <c r="D19" s="402"/>
      <c r="E19" s="403"/>
      <c r="F19" s="349" t="s">
        <v>366</v>
      </c>
      <c r="G19" s="345"/>
      <c r="H19" s="345"/>
      <c r="I19" s="345"/>
      <c r="J19" s="345"/>
      <c r="K19" s="345"/>
      <c r="L19" s="345"/>
      <c r="M19" s="345"/>
      <c r="N19" s="345"/>
      <c r="O19" s="345"/>
      <c r="P19" s="345"/>
      <c r="Q19" s="344"/>
      <c r="R19" s="350">
        <v>505150000</v>
      </c>
      <c r="S19" s="345"/>
      <c r="T19" s="351"/>
    </row>
    <row r="20" spans="1:22" ht="25.9" customHeight="1" thickBot="1">
      <c r="A20" s="404"/>
      <c r="B20" s="405"/>
      <c r="C20" s="405"/>
      <c r="D20" s="405"/>
      <c r="E20" s="406"/>
      <c r="F20" s="352" t="s">
        <v>367</v>
      </c>
      <c r="G20" s="353"/>
      <c r="H20" s="353"/>
      <c r="I20" s="353"/>
      <c r="J20" s="353"/>
      <c r="K20" s="353"/>
      <c r="L20" s="353"/>
      <c r="M20" s="353"/>
      <c r="N20" s="353"/>
      <c r="O20" s="353"/>
      <c r="P20" s="353"/>
      <c r="Q20" s="354"/>
      <c r="R20" s="355">
        <v>0</v>
      </c>
      <c r="S20" s="353"/>
      <c r="T20" s="356"/>
    </row>
    <row r="21" spans="1:22" ht="10.9" customHeight="1" thickBot="1">
      <c r="A21" s="369" t="s">
        <v>368</v>
      </c>
      <c r="B21" s="370"/>
      <c r="C21" s="370"/>
      <c r="D21" s="370"/>
      <c r="E21" s="371"/>
      <c r="F21" s="357"/>
      <c r="G21" s="358"/>
      <c r="H21" s="358"/>
      <c r="I21" s="358"/>
      <c r="J21" s="358"/>
      <c r="K21" s="358"/>
      <c r="L21" s="358"/>
      <c r="M21" s="358"/>
      <c r="N21" s="358"/>
      <c r="O21" s="358"/>
      <c r="P21" s="358"/>
      <c r="Q21" s="358"/>
      <c r="R21" s="358"/>
      <c r="S21" s="358"/>
      <c r="T21" s="359"/>
    </row>
    <row r="22" spans="1:22" ht="10.9" customHeight="1">
      <c r="A22" s="372"/>
      <c r="B22" s="373"/>
      <c r="C22" s="373"/>
      <c r="D22" s="373"/>
      <c r="E22" s="374"/>
      <c r="F22" s="360"/>
      <c r="G22" s="361"/>
      <c r="H22" s="361"/>
      <c r="I22" s="361"/>
      <c r="J22" s="361"/>
      <c r="K22" s="361"/>
      <c r="L22" s="361"/>
      <c r="M22" s="361"/>
      <c r="N22" s="361"/>
      <c r="O22" s="361"/>
      <c r="P22" s="361"/>
      <c r="Q22" s="361"/>
      <c r="R22" s="361"/>
      <c r="S22" s="361"/>
      <c r="T22" s="362"/>
    </row>
    <row r="23" spans="1:22" ht="28.15" customHeight="1">
      <c r="A23" s="372"/>
      <c r="B23" s="373"/>
      <c r="C23" s="373"/>
      <c r="D23" s="373"/>
      <c r="E23" s="374"/>
      <c r="F23" s="360"/>
      <c r="G23" s="361"/>
      <c r="H23" s="361"/>
      <c r="I23" s="361"/>
      <c r="J23" s="361"/>
      <c r="K23" s="361"/>
      <c r="L23" s="361"/>
      <c r="M23" s="361"/>
      <c r="N23" s="361"/>
      <c r="O23" s="361"/>
      <c r="P23" s="361"/>
      <c r="Q23" s="361"/>
      <c r="R23" s="361"/>
      <c r="S23" s="361"/>
      <c r="T23" s="362"/>
    </row>
    <row r="24" spans="1:22" ht="28.15" customHeight="1" thickBot="1">
      <c r="A24" s="375"/>
      <c r="B24" s="376"/>
      <c r="C24" s="376"/>
      <c r="D24" s="376"/>
      <c r="E24" s="377"/>
      <c r="F24" s="363"/>
      <c r="G24" s="364"/>
      <c r="H24" s="364"/>
      <c r="I24" s="364"/>
      <c r="J24" s="364"/>
      <c r="K24" s="364"/>
      <c r="L24" s="364"/>
      <c r="M24" s="364"/>
      <c r="N24" s="364"/>
      <c r="O24" s="364"/>
      <c r="P24" s="364"/>
      <c r="Q24" s="364"/>
      <c r="R24" s="364"/>
      <c r="S24" s="364"/>
      <c r="T24" s="365"/>
    </row>
    <row r="25" spans="1:22" ht="6" customHeight="1"/>
    <row r="26" spans="1:22" ht="25.9" customHeight="1">
      <c r="A26" s="366" t="s">
        <v>369</v>
      </c>
      <c r="B26" s="361"/>
      <c r="C26" s="361"/>
      <c r="D26" s="361"/>
      <c r="E26" s="361"/>
      <c r="F26" s="361"/>
      <c r="G26" s="361"/>
      <c r="H26" s="361"/>
      <c r="I26" s="361"/>
      <c r="J26" s="361"/>
      <c r="K26" s="361"/>
      <c r="L26" s="361"/>
      <c r="M26" s="361"/>
      <c r="N26" s="361"/>
      <c r="O26" s="361"/>
      <c r="P26" s="361"/>
      <c r="Q26" s="361"/>
      <c r="R26" s="361"/>
      <c r="S26" s="361"/>
      <c r="T26" s="361"/>
    </row>
    <row r="27" spans="1:22" ht="3" customHeight="1"/>
    <row r="28" spans="1:22" ht="22.15" customHeight="1">
      <c r="B28" s="367">
        <v>2026</v>
      </c>
      <c r="C28" s="361"/>
      <c r="D28" s="67" t="s">
        <v>370</v>
      </c>
      <c r="E28" s="368">
        <v>5</v>
      </c>
      <c r="F28" s="361"/>
      <c r="H28" s="67" t="s">
        <v>371</v>
      </c>
      <c r="I28" s="68">
        <v>18</v>
      </c>
      <c r="J28" s="68" t="s">
        <v>372</v>
      </c>
    </row>
    <row r="29" spans="1:22" ht="3" customHeight="1"/>
    <row r="30" spans="1:22" ht="18" customHeight="1">
      <c r="L30" s="69" t="s">
        <v>373</v>
      </c>
      <c r="V30" s="69"/>
    </row>
    <row r="31" spans="1:22" ht="25.9" customHeight="1">
      <c r="L31" s="347" t="s">
        <v>394</v>
      </c>
      <c r="M31" s="348"/>
      <c r="N31" s="70"/>
      <c r="O31" s="71" t="s">
        <v>374</v>
      </c>
      <c r="P31" s="72"/>
      <c r="Q31" s="347" t="s">
        <v>940</v>
      </c>
      <c r="R31" s="348"/>
      <c r="S31" s="348"/>
      <c r="T31" s="348"/>
    </row>
    <row r="32" spans="1:22" ht="3" customHeight="1"/>
    <row r="33" spans="12:20" ht="19.899999999999999" customHeight="1">
      <c r="L33" s="343" t="s">
        <v>375</v>
      </c>
      <c r="M33" s="344"/>
      <c r="N33" s="343" t="s">
        <v>376</v>
      </c>
      <c r="O33" s="345"/>
      <c r="P33" s="344"/>
      <c r="Q33" s="73" t="s">
        <v>377</v>
      </c>
      <c r="R33" s="343" t="s">
        <v>378</v>
      </c>
      <c r="S33" s="345"/>
      <c r="T33" s="344"/>
    </row>
    <row r="34" spans="12:20" ht="61.9" customHeight="1">
      <c r="L34" s="346"/>
      <c r="M34" s="344"/>
      <c r="N34" s="346"/>
      <c r="O34" s="345"/>
      <c r="P34" s="344"/>
      <c r="Q34" s="74"/>
      <c r="R34" s="346"/>
      <c r="S34" s="345"/>
      <c r="T34" s="344"/>
    </row>
  </sheetData>
  <mergeCells count="59">
    <mergeCell ref="A9:E9"/>
    <mergeCell ref="F9:O9"/>
    <mergeCell ref="Q9:T9"/>
    <mergeCell ref="A3:T3"/>
    <mergeCell ref="A5:E5"/>
    <mergeCell ref="A6:E6"/>
    <mergeCell ref="F6:T6"/>
    <mergeCell ref="F5:T5"/>
    <mergeCell ref="R1:T1"/>
    <mergeCell ref="A7:E7"/>
    <mergeCell ref="F7:K7"/>
    <mergeCell ref="A8:E8"/>
    <mergeCell ref="F8:O8"/>
    <mergeCell ref="Q8:T8"/>
    <mergeCell ref="A10:E10"/>
    <mergeCell ref="F10:T10"/>
    <mergeCell ref="A11:E11"/>
    <mergeCell ref="F11:T11"/>
    <mergeCell ref="H12:J12"/>
    <mergeCell ref="L12:M12"/>
    <mergeCell ref="O12:P12"/>
    <mergeCell ref="R12:T12"/>
    <mergeCell ref="F12:G12"/>
    <mergeCell ref="A12:E20"/>
    <mergeCell ref="F13:M13"/>
    <mergeCell ref="N13:O13"/>
    <mergeCell ref="R13:T13"/>
    <mergeCell ref="F14:M14"/>
    <mergeCell ref="N14:O14"/>
    <mergeCell ref="R14:T14"/>
    <mergeCell ref="F15:M15"/>
    <mergeCell ref="N15:O15"/>
    <mergeCell ref="R15:T15"/>
    <mergeCell ref="F16:M16"/>
    <mergeCell ref="N16:O16"/>
    <mergeCell ref="R16:T16"/>
    <mergeCell ref="F17:M17"/>
    <mergeCell ref="N17:O17"/>
    <mergeCell ref="R17:T17"/>
    <mergeCell ref="F18:M18"/>
    <mergeCell ref="N18:O18"/>
    <mergeCell ref="R18:T18"/>
    <mergeCell ref="L31:M31"/>
    <mergeCell ref="Q31:T31"/>
    <mergeCell ref="F19:Q19"/>
    <mergeCell ref="R19:T19"/>
    <mergeCell ref="F20:Q20"/>
    <mergeCell ref="R20:T20"/>
    <mergeCell ref="F21:T24"/>
    <mergeCell ref="A26:T26"/>
    <mergeCell ref="B28:C28"/>
    <mergeCell ref="E28:F28"/>
    <mergeCell ref="A21:E24"/>
    <mergeCell ref="L33:M33"/>
    <mergeCell ref="N33:P33"/>
    <mergeCell ref="R33:T33"/>
    <mergeCell ref="L34:M34"/>
    <mergeCell ref="N34:P34"/>
    <mergeCell ref="R34:T34"/>
  </mergeCells>
  <phoneticPr fontId="5"/>
  <pageMargins left="0.39370078740157483" right="0.31496062992125984" top="0.39370078740157483" bottom="0.31496062992125984" header="0.19685039370078741" footer="0.19685039370078741"/>
  <pageSetup paperSize="9" scale="77"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1C4D1-79F4-4529-A5A1-8B3668FB74A3}">
  <sheetPr codeName="Sheet8"/>
  <dimension ref="A1:AG40"/>
  <sheetViews>
    <sheetView view="pageBreakPreview" topLeftCell="A3" zoomScale="115" zoomScaleNormal="100" zoomScaleSheetLayoutView="115" workbookViewId="0">
      <selection activeCell="F31" sqref="F31"/>
    </sheetView>
  </sheetViews>
  <sheetFormatPr defaultColWidth="3.85546875" defaultRowHeight="20.100000000000001" customHeight="1"/>
  <cols>
    <col min="1" max="4" width="3.85546875" style="222"/>
    <col min="5" max="6" width="3.85546875" style="222" customWidth="1"/>
    <col min="7" max="16" width="3.85546875" style="222"/>
    <col min="17" max="17" width="3.85546875" style="223"/>
    <col min="18" max="16384" width="3.85546875" style="222"/>
  </cols>
  <sheetData>
    <row r="1" spans="1:29" ht="20.100000000000001" customHeight="1">
      <c r="A1" s="222">
        <v>1</v>
      </c>
      <c r="B1" s="222">
        <v>2</v>
      </c>
      <c r="C1" s="222">
        <v>3</v>
      </c>
      <c r="D1" s="222">
        <v>4</v>
      </c>
      <c r="E1" s="222">
        <v>5</v>
      </c>
      <c r="F1" s="222">
        <v>6</v>
      </c>
      <c r="G1" s="222">
        <v>7</v>
      </c>
      <c r="H1" s="222">
        <v>8</v>
      </c>
      <c r="J1" s="222">
        <v>9</v>
      </c>
      <c r="K1" s="222">
        <v>10</v>
      </c>
      <c r="L1" s="222">
        <v>11</v>
      </c>
      <c r="M1" s="222">
        <v>12</v>
      </c>
      <c r="N1" s="222">
        <v>13</v>
      </c>
      <c r="O1" s="222">
        <v>14</v>
      </c>
      <c r="Q1" s="223">
        <v>15</v>
      </c>
      <c r="R1" s="222">
        <v>16</v>
      </c>
      <c r="S1" s="222">
        <v>18</v>
      </c>
      <c r="T1" s="222">
        <v>19</v>
      </c>
      <c r="U1" s="222">
        <v>20</v>
      </c>
      <c r="V1" s="222">
        <v>22</v>
      </c>
      <c r="X1" s="222">
        <v>23</v>
      </c>
      <c r="Y1" s="222">
        <v>24</v>
      </c>
      <c r="Z1" s="222">
        <v>25</v>
      </c>
      <c r="AA1" s="222">
        <v>26</v>
      </c>
      <c r="AB1" s="222">
        <v>27</v>
      </c>
      <c r="AC1" s="222">
        <v>28</v>
      </c>
    </row>
    <row r="2" spans="1:29" ht="28.15" customHeight="1">
      <c r="A2" s="318" t="s">
        <v>346</v>
      </c>
      <c r="B2" s="318"/>
      <c r="C2" s="318"/>
      <c r="D2" s="318"/>
      <c r="E2" s="318"/>
      <c r="F2" s="318"/>
      <c r="G2" s="318"/>
      <c r="H2" s="318"/>
      <c r="I2" s="318"/>
      <c r="J2" s="318"/>
      <c r="K2" s="318"/>
      <c r="L2" s="318"/>
      <c r="M2" s="318"/>
      <c r="N2" s="318"/>
      <c r="O2" s="318"/>
      <c r="P2" s="318"/>
      <c r="Q2" s="318"/>
      <c r="R2" s="318"/>
      <c r="S2" s="318"/>
      <c r="T2" s="318"/>
      <c r="U2" s="318"/>
      <c r="V2" s="318"/>
      <c r="W2" s="318"/>
      <c r="X2" s="318"/>
      <c r="Y2" s="318"/>
      <c r="Z2" s="318"/>
      <c r="AA2" s="318"/>
      <c r="AB2" s="318"/>
      <c r="AC2" s="318"/>
    </row>
    <row r="3" spans="1:29" ht="28.15" customHeigh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row>
    <row r="4" spans="1:29" ht="28.15" customHeight="1">
      <c r="A4" s="438" t="s">
        <v>960</v>
      </c>
      <c r="B4" s="438"/>
      <c r="C4" s="438"/>
      <c r="D4" s="438"/>
      <c r="E4" s="438"/>
      <c r="F4" s="438"/>
      <c r="G4" s="438"/>
      <c r="H4" s="438"/>
      <c r="I4" s="438"/>
      <c r="J4" s="438"/>
      <c r="K4" s="438"/>
      <c r="L4" s="438"/>
      <c r="M4" s="438"/>
      <c r="N4" s="438"/>
      <c r="O4" s="438"/>
      <c r="P4" s="438"/>
      <c r="Q4" s="438"/>
      <c r="R4" s="438"/>
      <c r="S4" s="438"/>
      <c r="T4" s="438"/>
      <c r="U4" s="438"/>
      <c r="V4" s="438"/>
      <c r="W4" s="438"/>
      <c r="X4" s="438"/>
      <c r="Y4" s="438"/>
      <c r="Z4" s="438"/>
      <c r="AA4" s="438"/>
      <c r="AB4" s="438"/>
      <c r="AC4" s="438"/>
    </row>
    <row r="5" spans="1:29" ht="23.45" customHeight="1">
      <c r="A5" s="428" t="s">
        <v>943</v>
      </c>
      <c r="B5" s="428"/>
      <c r="C5" s="428"/>
      <c r="D5" s="428"/>
      <c r="E5" s="428"/>
      <c r="F5" s="439">
        <v>46157</v>
      </c>
      <c r="G5" s="439"/>
      <c r="H5" s="439"/>
      <c r="I5" s="439"/>
      <c r="J5" s="439"/>
      <c r="K5" s="439"/>
      <c r="L5" s="439"/>
      <c r="M5" s="439"/>
      <c r="N5" s="439"/>
      <c r="O5" s="439"/>
      <c r="P5" s="439"/>
      <c r="Q5" s="439"/>
      <c r="R5" s="439"/>
      <c r="S5" s="439"/>
      <c r="T5" s="439"/>
      <c r="U5" s="439"/>
      <c r="V5" s="439"/>
      <c r="W5" s="439"/>
      <c r="X5" s="439"/>
      <c r="Y5" s="439"/>
      <c r="Z5" s="439"/>
      <c r="AA5" s="439"/>
      <c r="AB5" s="439"/>
      <c r="AC5" s="439"/>
    </row>
    <row r="6" spans="1:29" ht="23.45" customHeight="1">
      <c r="A6" s="228"/>
      <c r="B6" s="229"/>
      <c r="C6" s="229" t="s">
        <v>949</v>
      </c>
      <c r="D6" s="229"/>
      <c r="E6" s="230"/>
      <c r="F6" s="440"/>
      <c r="G6" s="441"/>
      <c r="H6" s="441"/>
      <c r="I6" s="441"/>
      <c r="J6" s="441"/>
      <c r="K6" s="441"/>
      <c r="L6" s="441"/>
      <c r="M6" s="441"/>
      <c r="N6" s="441"/>
      <c r="O6" s="441"/>
      <c r="P6" s="441"/>
      <c r="Q6" s="441"/>
      <c r="R6" s="441"/>
      <c r="S6" s="441"/>
      <c r="T6" s="441"/>
      <c r="U6" s="441"/>
      <c r="V6" s="441"/>
      <c r="W6" s="441"/>
      <c r="X6" s="441"/>
      <c r="Y6" s="441"/>
      <c r="Z6" s="441"/>
      <c r="AA6" s="441"/>
      <c r="AB6" s="441"/>
      <c r="AC6" s="442"/>
    </row>
    <row r="7" spans="1:29" ht="23.45" customHeight="1">
      <c r="A7" s="428" t="s">
        <v>347</v>
      </c>
      <c r="B7" s="428"/>
      <c r="C7" s="428"/>
      <c r="D7" s="428"/>
      <c r="E7" s="428"/>
      <c r="F7" s="429" t="s">
        <v>379</v>
      </c>
      <c r="G7" s="429"/>
      <c r="H7" s="429"/>
      <c r="I7" s="429"/>
      <c r="J7" s="429"/>
      <c r="K7" s="429"/>
      <c r="L7" s="429"/>
      <c r="M7" s="429"/>
      <c r="N7" s="429"/>
      <c r="O7" s="429"/>
      <c r="P7" s="429"/>
      <c r="Q7" s="429"/>
      <c r="R7" s="429"/>
      <c r="S7" s="429"/>
      <c r="T7" s="429"/>
      <c r="U7" s="429"/>
      <c r="V7" s="429"/>
      <c r="W7" s="429"/>
      <c r="X7" s="429"/>
      <c r="Y7" s="429"/>
      <c r="Z7" s="429"/>
      <c r="AA7" s="429"/>
      <c r="AB7" s="429"/>
      <c r="AC7" s="429"/>
    </row>
    <row r="8" spans="1:29" ht="23.45" customHeight="1">
      <c r="A8" s="428" t="s">
        <v>348</v>
      </c>
      <c r="B8" s="428"/>
      <c r="C8" s="428"/>
      <c r="D8" s="428"/>
      <c r="E8" s="428"/>
      <c r="F8" s="429" t="s">
        <v>381</v>
      </c>
      <c r="G8" s="429"/>
      <c r="H8" s="429"/>
      <c r="I8" s="429"/>
      <c r="J8" s="429"/>
      <c r="K8" s="429"/>
      <c r="L8" s="429"/>
      <c r="M8" s="429"/>
      <c r="N8" s="429"/>
      <c r="O8" s="429"/>
      <c r="P8" s="429"/>
      <c r="Q8" s="429"/>
      <c r="R8" s="429"/>
      <c r="S8" s="429"/>
      <c r="T8" s="429"/>
      <c r="U8" s="429"/>
      <c r="V8" s="429"/>
      <c r="W8" s="429"/>
      <c r="X8" s="429"/>
      <c r="Y8" s="429"/>
      <c r="Z8" s="429"/>
      <c r="AA8" s="429"/>
      <c r="AB8" s="429"/>
      <c r="AC8" s="429"/>
    </row>
    <row r="9" spans="1:29" ht="23.45" customHeight="1">
      <c r="A9" s="428" t="s">
        <v>349</v>
      </c>
      <c r="B9" s="428"/>
      <c r="C9" s="428"/>
      <c r="D9" s="428"/>
      <c r="E9" s="428"/>
      <c r="F9" s="430">
        <v>13751355</v>
      </c>
      <c r="G9" s="430"/>
      <c r="H9" s="430"/>
      <c r="I9" s="430"/>
      <c r="J9" s="430"/>
      <c r="K9" s="430"/>
      <c r="L9" s="430"/>
      <c r="M9" s="430"/>
      <c r="N9" s="430"/>
      <c r="O9" s="430"/>
      <c r="P9" s="430"/>
      <c r="Q9" s="430"/>
      <c r="R9" s="430"/>
      <c r="S9" s="430"/>
      <c r="T9" s="430"/>
      <c r="U9" s="430"/>
      <c r="V9" s="431"/>
      <c r="W9" s="431"/>
      <c r="X9" s="431"/>
      <c r="Y9" s="431"/>
      <c r="Z9" s="431"/>
      <c r="AA9" s="431"/>
      <c r="AB9" s="431"/>
      <c r="AC9" s="431"/>
    </row>
    <row r="10" spans="1:29" ht="23.45" customHeight="1">
      <c r="A10" s="422" t="s">
        <v>942</v>
      </c>
      <c r="B10" s="423"/>
      <c r="C10" s="423"/>
      <c r="D10" s="423"/>
      <c r="E10" s="424"/>
      <c r="F10" s="432"/>
      <c r="G10" s="433"/>
      <c r="H10" s="433"/>
      <c r="I10" s="433"/>
      <c r="J10" s="433"/>
      <c r="K10" s="433"/>
      <c r="L10" s="433"/>
      <c r="M10" s="433"/>
      <c r="N10" s="433"/>
      <c r="O10" s="433"/>
      <c r="P10" s="433"/>
      <c r="Q10" s="433"/>
      <c r="R10" s="433"/>
      <c r="S10" s="433"/>
      <c r="T10" s="433"/>
      <c r="U10" s="433"/>
      <c r="V10" s="433"/>
      <c r="W10" s="433"/>
      <c r="X10" s="433"/>
      <c r="Y10" s="433"/>
      <c r="Z10" s="433"/>
      <c r="AA10" s="433"/>
      <c r="AB10" s="433"/>
      <c r="AC10" s="434"/>
    </row>
    <row r="11" spans="1:29" ht="23.45" customHeight="1">
      <c r="A11" s="428" t="s">
        <v>351</v>
      </c>
      <c r="B11" s="428"/>
      <c r="C11" s="428"/>
      <c r="D11" s="428"/>
      <c r="E11" s="428"/>
      <c r="F11" s="435" t="s">
        <v>383</v>
      </c>
      <c r="G11" s="436"/>
      <c r="H11" s="436"/>
      <c r="I11" s="436"/>
      <c r="J11" s="436"/>
      <c r="K11" s="436"/>
      <c r="L11" s="436"/>
      <c r="M11" s="436"/>
      <c r="N11" s="436"/>
      <c r="O11" s="436"/>
      <c r="P11" s="436"/>
      <c r="Q11" s="436"/>
      <c r="R11" s="436"/>
      <c r="S11" s="436"/>
      <c r="T11" s="436"/>
      <c r="U11" s="436"/>
      <c r="V11" s="436"/>
      <c r="W11" s="436"/>
      <c r="X11" s="436"/>
      <c r="Y11" s="436"/>
      <c r="Z11" s="436"/>
      <c r="AA11" s="436"/>
      <c r="AB11" s="436"/>
      <c r="AC11" s="437"/>
    </row>
    <row r="12" spans="1:29" ht="23.45" customHeight="1">
      <c r="A12" s="428" t="s">
        <v>355</v>
      </c>
      <c r="B12" s="428"/>
      <c r="C12" s="428"/>
      <c r="D12" s="428"/>
      <c r="E12" s="428"/>
      <c r="F12" s="429" t="s">
        <v>384</v>
      </c>
      <c r="G12" s="429"/>
      <c r="H12" s="429"/>
      <c r="I12" s="429"/>
      <c r="J12" s="429"/>
      <c r="K12" s="429"/>
      <c r="L12" s="429"/>
      <c r="M12" s="429"/>
      <c r="N12" s="429"/>
      <c r="O12" s="429"/>
      <c r="P12" s="429"/>
      <c r="Q12" s="429"/>
      <c r="R12" s="429"/>
      <c r="S12" s="429"/>
      <c r="T12" s="429"/>
      <c r="U12" s="429"/>
      <c r="V12" s="429"/>
      <c r="W12" s="429"/>
      <c r="X12" s="429"/>
      <c r="Y12" s="429"/>
      <c r="Z12" s="429"/>
      <c r="AA12" s="429"/>
      <c r="AB12" s="429"/>
      <c r="AC12" s="429"/>
    </row>
    <row r="13" spans="1:29" ht="23.45" customHeight="1">
      <c r="A13" s="428" t="s">
        <v>356</v>
      </c>
      <c r="B13" s="428"/>
      <c r="C13" s="428"/>
      <c r="D13" s="428"/>
      <c r="E13" s="428"/>
      <c r="F13" s="429" t="s">
        <v>386</v>
      </c>
      <c r="G13" s="429"/>
      <c r="H13" s="429"/>
      <c r="I13" s="429"/>
      <c r="J13" s="429"/>
      <c r="K13" s="429"/>
      <c r="L13" s="429"/>
      <c r="M13" s="429"/>
      <c r="N13" s="429"/>
      <c r="O13" s="429"/>
      <c r="P13" s="429"/>
      <c r="Q13" s="429"/>
      <c r="R13" s="429"/>
      <c r="S13" s="429"/>
      <c r="T13" s="429"/>
      <c r="U13" s="429"/>
      <c r="V13" s="429"/>
      <c r="W13" s="429"/>
      <c r="X13" s="429"/>
      <c r="Y13" s="429"/>
      <c r="Z13" s="429"/>
      <c r="AA13" s="429"/>
      <c r="AB13" s="429"/>
      <c r="AC13" s="429"/>
    </row>
    <row r="14" spans="1:29" ht="23.45" customHeight="1">
      <c r="A14" s="422" t="s">
        <v>947</v>
      </c>
      <c r="B14" s="423"/>
      <c r="C14" s="423"/>
      <c r="D14" s="423"/>
      <c r="E14" s="424"/>
      <c r="F14" s="443" t="s">
        <v>944</v>
      </c>
      <c r="G14" s="444"/>
      <c r="H14" s="444"/>
      <c r="I14" s="444"/>
      <c r="J14" s="444"/>
      <c r="K14" s="444"/>
      <c r="L14" s="444"/>
      <c r="M14" s="444"/>
      <c r="N14" s="444"/>
      <c r="O14" s="444"/>
      <c r="P14" s="444"/>
      <c r="Q14" s="444"/>
      <c r="R14" s="445"/>
      <c r="S14" s="446" t="s">
        <v>962</v>
      </c>
      <c r="T14" s="446"/>
      <c r="U14" s="446"/>
      <c r="V14" s="446"/>
      <c r="W14" s="446"/>
      <c r="X14" s="446"/>
      <c r="Y14" s="446"/>
      <c r="Z14" s="446"/>
      <c r="AA14" s="446"/>
      <c r="AB14" s="446"/>
      <c r="AC14" s="447"/>
    </row>
    <row r="15" spans="1:29" ht="23.45" customHeight="1">
      <c r="A15" s="422" t="s">
        <v>946</v>
      </c>
      <c r="B15" s="423"/>
      <c r="C15" s="423"/>
      <c r="D15" s="423"/>
      <c r="E15" s="424"/>
      <c r="F15" s="425"/>
      <c r="G15" s="426"/>
      <c r="H15" s="426"/>
      <c r="I15" s="426"/>
      <c r="J15" s="426"/>
      <c r="K15" s="426"/>
      <c r="L15" s="426"/>
      <c r="M15" s="426"/>
      <c r="N15" s="426"/>
      <c r="O15" s="426"/>
      <c r="P15" s="426"/>
      <c r="Q15" s="426"/>
      <c r="R15" s="426"/>
      <c r="S15" s="426"/>
      <c r="T15" s="426"/>
      <c r="U15" s="426"/>
      <c r="V15" s="426"/>
      <c r="W15" s="426"/>
      <c r="X15" s="426"/>
      <c r="Y15" s="426"/>
      <c r="Z15" s="426"/>
      <c r="AA15" s="426"/>
      <c r="AB15" s="426"/>
      <c r="AC15" s="427"/>
    </row>
    <row r="16" spans="1:29" ht="23.45" customHeight="1">
      <c r="A16" s="422" t="s">
        <v>963</v>
      </c>
      <c r="B16" s="423"/>
      <c r="C16" s="423"/>
      <c r="D16" s="423"/>
      <c r="E16" s="424"/>
      <c r="F16" s="425"/>
      <c r="G16" s="426"/>
      <c r="H16" s="426"/>
      <c r="I16" s="426"/>
      <c r="J16" s="426"/>
      <c r="K16" s="426"/>
      <c r="L16" s="426"/>
      <c r="M16" s="426"/>
      <c r="N16" s="426"/>
      <c r="O16" s="426"/>
      <c r="P16" s="426"/>
      <c r="Q16" s="426"/>
      <c r="R16" s="426"/>
      <c r="S16" s="426"/>
      <c r="T16" s="426"/>
      <c r="U16" s="426"/>
      <c r="V16" s="426"/>
      <c r="W16" s="426"/>
      <c r="X16" s="426"/>
      <c r="Y16" s="426"/>
      <c r="Z16" s="426"/>
      <c r="AA16" s="426"/>
      <c r="AB16" s="426"/>
      <c r="AC16" s="427"/>
    </row>
    <row r="17" spans="1:33" ht="23.45" customHeight="1">
      <c r="A17" s="452" t="s">
        <v>945</v>
      </c>
      <c r="B17" s="292"/>
      <c r="C17" s="292"/>
      <c r="D17" s="292"/>
      <c r="E17" s="293"/>
      <c r="F17" s="457" t="s">
        <v>361</v>
      </c>
      <c r="G17" s="458"/>
      <c r="H17" s="458"/>
      <c r="I17" s="458"/>
      <c r="J17" s="458"/>
      <c r="K17" s="458"/>
      <c r="L17" s="458"/>
      <c r="M17" s="458"/>
      <c r="N17" s="458"/>
      <c r="O17" s="490" t="s">
        <v>362</v>
      </c>
      <c r="P17" s="460"/>
      <c r="Q17" s="457" t="s">
        <v>363</v>
      </c>
      <c r="R17" s="457"/>
      <c r="S17" s="459" t="s">
        <v>364</v>
      </c>
      <c r="T17" s="459"/>
      <c r="U17" s="459"/>
      <c r="V17" s="460"/>
      <c r="W17" s="490" t="s">
        <v>961</v>
      </c>
      <c r="X17" s="459"/>
      <c r="Y17" s="459"/>
      <c r="Z17" s="459"/>
      <c r="AA17" s="459"/>
      <c r="AB17" s="459"/>
      <c r="AC17" s="460"/>
    </row>
    <row r="18" spans="1:33" ht="23.45" customHeight="1">
      <c r="A18" s="453"/>
      <c r="B18" s="295"/>
      <c r="C18" s="295"/>
      <c r="D18" s="295"/>
      <c r="E18" s="296"/>
      <c r="F18" s="302" t="s">
        <v>387</v>
      </c>
      <c r="G18" s="448"/>
      <c r="H18" s="448"/>
      <c r="I18" s="448"/>
      <c r="J18" s="448"/>
      <c r="K18" s="448"/>
      <c r="L18" s="448"/>
      <c r="M18" s="448"/>
      <c r="N18" s="448"/>
      <c r="O18" s="461">
        <v>1</v>
      </c>
      <c r="P18" s="463"/>
      <c r="Q18" s="302" t="s">
        <v>382</v>
      </c>
      <c r="R18" s="302"/>
      <c r="S18" s="461"/>
      <c r="T18" s="462"/>
      <c r="U18" s="462"/>
      <c r="V18" s="463"/>
      <c r="W18" s="461">
        <v>12345678</v>
      </c>
      <c r="X18" s="462"/>
      <c r="Y18" s="462"/>
      <c r="Z18" s="462"/>
      <c r="AA18" s="462"/>
      <c r="AB18" s="462"/>
      <c r="AC18" s="463"/>
    </row>
    <row r="19" spans="1:33" ht="23.45" customHeight="1">
      <c r="A19" s="453"/>
      <c r="B19" s="295"/>
      <c r="C19" s="295"/>
      <c r="D19" s="295"/>
      <c r="E19" s="296"/>
      <c r="F19" s="464" t="s">
        <v>388</v>
      </c>
      <c r="G19" s="314"/>
      <c r="H19" s="314"/>
      <c r="I19" s="314"/>
      <c r="J19" s="314"/>
      <c r="K19" s="314"/>
      <c r="L19" s="314"/>
      <c r="M19" s="314"/>
      <c r="N19" s="314"/>
      <c r="O19" s="449">
        <v>2</v>
      </c>
      <c r="P19" s="451"/>
      <c r="Q19" s="464" t="s">
        <v>382</v>
      </c>
      <c r="R19" s="464"/>
      <c r="S19" s="449"/>
      <c r="T19" s="450"/>
      <c r="U19" s="450"/>
      <c r="V19" s="451"/>
      <c r="W19" s="449">
        <v>22222</v>
      </c>
      <c r="X19" s="450"/>
      <c r="Y19" s="450"/>
      <c r="Z19" s="450"/>
      <c r="AA19" s="450"/>
      <c r="AB19" s="450"/>
      <c r="AC19" s="451"/>
    </row>
    <row r="20" spans="1:33" ht="23.45" customHeight="1">
      <c r="A20" s="453"/>
      <c r="B20" s="295"/>
      <c r="C20" s="295"/>
      <c r="D20" s="295"/>
      <c r="E20" s="296"/>
      <c r="F20" s="302" t="s">
        <v>389</v>
      </c>
      <c r="G20" s="448"/>
      <c r="H20" s="448"/>
      <c r="I20" s="448"/>
      <c r="J20" s="448"/>
      <c r="K20" s="448"/>
      <c r="L20" s="448"/>
      <c r="M20" s="448"/>
      <c r="N20" s="448"/>
      <c r="O20" s="461">
        <v>3</v>
      </c>
      <c r="P20" s="463"/>
      <c r="Q20" s="302" t="s">
        <v>382</v>
      </c>
      <c r="R20" s="302"/>
      <c r="S20" s="461"/>
      <c r="T20" s="462"/>
      <c r="U20" s="462"/>
      <c r="V20" s="463"/>
      <c r="W20" s="465">
        <v>22223</v>
      </c>
      <c r="X20" s="466"/>
      <c r="Y20" s="466"/>
      <c r="Z20" s="466"/>
      <c r="AA20" s="466"/>
      <c r="AB20" s="466"/>
      <c r="AC20" s="467"/>
    </row>
    <row r="21" spans="1:33" ht="23.45" customHeight="1">
      <c r="A21" s="453"/>
      <c r="B21" s="295"/>
      <c r="C21" s="295"/>
      <c r="D21" s="295"/>
      <c r="E21" s="296"/>
      <c r="F21" s="464" t="s">
        <v>390</v>
      </c>
      <c r="G21" s="314"/>
      <c r="H21" s="314"/>
      <c r="I21" s="314"/>
      <c r="J21" s="314"/>
      <c r="K21" s="314"/>
      <c r="L21" s="314"/>
      <c r="M21" s="314"/>
      <c r="N21" s="314"/>
      <c r="O21" s="449">
        <v>4</v>
      </c>
      <c r="P21" s="451"/>
      <c r="Q21" s="464" t="s">
        <v>382</v>
      </c>
      <c r="R21" s="464"/>
      <c r="S21" s="449"/>
      <c r="T21" s="450"/>
      <c r="U21" s="450"/>
      <c r="V21" s="451"/>
      <c r="W21" s="449">
        <v>22224</v>
      </c>
      <c r="X21" s="450"/>
      <c r="Y21" s="450"/>
      <c r="Z21" s="450"/>
      <c r="AA21" s="450"/>
      <c r="AB21" s="450"/>
      <c r="AC21" s="451"/>
    </row>
    <row r="22" spans="1:33" ht="23.45" customHeight="1">
      <c r="A22" s="453"/>
      <c r="B22" s="295"/>
      <c r="C22" s="295"/>
      <c r="D22" s="295"/>
      <c r="E22" s="296"/>
      <c r="F22" s="332" t="s">
        <v>391</v>
      </c>
      <c r="G22" s="448"/>
      <c r="H22" s="448"/>
      <c r="I22" s="448"/>
      <c r="J22" s="448"/>
      <c r="K22" s="448"/>
      <c r="L22" s="448"/>
      <c r="M22" s="448"/>
      <c r="N22" s="448"/>
      <c r="O22" s="465">
        <v>5</v>
      </c>
      <c r="P22" s="467"/>
      <c r="Q22" s="332" t="s">
        <v>382</v>
      </c>
      <c r="R22" s="332"/>
      <c r="S22" s="465"/>
      <c r="T22" s="466"/>
      <c r="U22" s="466"/>
      <c r="V22" s="467"/>
      <c r="W22" s="465">
        <v>22225</v>
      </c>
      <c r="X22" s="466"/>
      <c r="Y22" s="466"/>
      <c r="Z22" s="466"/>
      <c r="AA22" s="466"/>
      <c r="AB22" s="466"/>
      <c r="AC22" s="467"/>
    </row>
    <row r="23" spans="1:33" ht="23.45" customHeight="1">
      <c r="A23" s="453"/>
      <c r="B23" s="295"/>
      <c r="C23" s="295"/>
      <c r="D23" s="295"/>
      <c r="E23" s="296"/>
      <c r="F23" s="474" t="s">
        <v>366</v>
      </c>
      <c r="G23" s="475"/>
      <c r="H23" s="475"/>
      <c r="I23" s="475"/>
      <c r="J23" s="475"/>
      <c r="K23" s="475"/>
      <c r="L23" s="475"/>
      <c r="M23" s="475"/>
      <c r="N23" s="475"/>
      <c r="O23" s="475"/>
      <c r="P23" s="475"/>
      <c r="Q23" s="475"/>
      <c r="R23" s="475"/>
      <c r="S23" s="475"/>
      <c r="T23" s="475"/>
      <c r="U23" s="475"/>
      <c r="V23" s="476"/>
      <c r="W23" s="471"/>
      <c r="X23" s="472"/>
      <c r="Y23" s="472"/>
      <c r="Z23" s="472"/>
      <c r="AA23" s="472"/>
      <c r="AB23" s="472"/>
      <c r="AC23" s="473"/>
    </row>
    <row r="24" spans="1:33" ht="23.45" customHeight="1">
      <c r="A24" s="454"/>
      <c r="B24" s="455"/>
      <c r="C24" s="455"/>
      <c r="D24" s="455"/>
      <c r="E24" s="456"/>
      <c r="F24" s="474" t="s">
        <v>367</v>
      </c>
      <c r="G24" s="475"/>
      <c r="H24" s="475"/>
      <c r="I24" s="475"/>
      <c r="J24" s="475"/>
      <c r="K24" s="475"/>
      <c r="L24" s="475"/>
      <c r="M24" s="475"/>
      <c r="N24" s="475"/>
      <c r="O24" s="475"/>
      <c r="P24" s="475"/>
      <c r="Q24" s="475"/>
      <c r="R24" s="475"/>
      <c r="S24" s="475"/>
      <c r="T24" s="475"/>
      <c r="U24" s="475"/>
      <c r="V24" s="476"/>
      <c r="W24" s="471"/>
      <c r="X24" s="472"/>
      <c r="Y24" s="472"/>
      <c r="Z24" s="472"/>
      <c r="AA24" s="472"/>
      <c r="AB24" s="472"/>
      <c r="AC24" s="473"/>
    </row>
    <row r="25" spans="1:33" ht="23.45" customHeight="1">
      <c r="A25" s="284" t="s">
        <v>368</v>
      </c>
      <c r="B25" s="284"/>
      <c r="C25" s="284"/>
      <c r="D25" s="284"/>
      <c r="E25" s="284"/>
      <c r="F25" s="487" t="s">
        <v>392</v>
      </c>
      <c r="G25" s="488"/>
      <c r="H25" s="488"/>
      <c r="I25" s="488"/>
      <c r="J25" s="488"/>
      <c r="K25" s="488"/>
      <c r="L25" s="488"/>
      <c r="M25" s="488"/>
      <c r="N25" s="488"/>
      <c r="O25" s="488"/>
      <c r="P25" s="488"/>
      <c r="Q25" s="488"/>
      <c r="R25" s="488"/>
      <c r="S25" s="488"/>
      <c r="T25" s="488"/>
      <c r="U25" s="488"/>
      <c r="V25" s="488"/>
      <c r="W25" s="488"/>
      <c r="X25" s="488"/>
      <c r="Y25" s="488"/>
      <c r="Z25" s="488"/>
      <c r="AA25" s="488"/>
      <c r="AB25" s="488"/>
      <c r="AC25" s="489"/>
    </row>
    <row r="26" spans="1:33" ht="23.45" customHeight="1">
      <c r="A26" s="284"/>
      <c r="B26" s="284"/>
      <c r="C26" s="284"/>
      <c r="D26" s="284"/>
      <c r="E26" s="284"/>
      <c r="F26" s="277"/>
      <c r="G26" s="278"/>
      <c r="H26" s="278"/>
      <c r="I26" s="278"/>
      <c r="J26" s="278"/>
      <c r="K26" s="278"/>
      <c r="L26" s="278"/>
      <c r="M26" s="278"/>
      <c r="N26" s="278"/>
      <c r="O26" s="278"/>
      <c r="P26" s="278"/>
      <c r="Q26" s="278"/>
      <c r="R26" s="278"/>
      <c r="S26" s="278"/>
      <c r="T26" s="278"/>
      <c r="U26" s="278"/>
      <c r="V26" s="278"/>
      <c r="W26" s="278"/>
      <c r="X26" s="278"/>
      <c r="Y26" s="278"/>
      <c r="Z26" s="278"/>
      <c r="AA26" s="278"/>
      <c r="AB26" s="278"/>
      <c r="AC26" s="279"/>
    </row>
    <row r="27" spans="1:33" ht="23.45" customHeight="1">
      <c r="A27" s="284"/>
      <c r="B27" s="284"/>
      <c r="C27" s="284"/>
      <c r="D27" s="284"/>
      <c r="E27" s="284"/>
      <c r="F27" s="277"/>
      <c r="G27" s="278"/>
      <c r="H27" s="278"/>
      <c r="I27" s="278"/>
      <c r="J27" s="278"/>
      <c r="K27" s="278"/>
      <c r="L27" s="278"/>
      <c r="M27" s="278"/>
      <c r="N27" s="278"/>
      <c r="O27" s="278"/>
      <c r="P27" s="278"/>
      <c r="Q27" s="278"/>
      <c r="R27" s="278"/>
      <c r="S27" s="278"/>
      <c r="T27" s="278"/>
      <c r="U27" s="278"/>
      <c r="V27" s="278"/>
      <c r="W27" s="278"/>
      <c r="X27" s="278"/>
      <c r="Y27" s="278"/>
      <c r="Z27" s="278"/>
      <c r="AA27" s="278"/>
      <c r="AB27" s="278"/>
      <c r="AC27" s="279"/>
    </row>
    <row r="28" spans="1:33" ht="23.45" customHeight="1">
      <c r="A28" s="284"/>
      <c r="B28" s="284"/>
      <c r="C28" s="284"/>
      <c r="D28" s="284"/>
      <c r="E28" s="284"/>
      <c r="F28" s="280"/>
      <c r="G28" s="281"/>
      <c r="H28" s="281"/>
      <c r="I28" s="281"/>
      <c r="J28" s="281"/>
      <c r="K28" s="281"/>
      <c r="L28" s="281"/>
      <c r="M28" s="281"/>
      <c r="N28" s="281"/>
      <c r="O28" s="281"/>
      <c r="P28" s="281"/>
      <c r="Q28" s="281"/>
      <c r="R28" s="281"/>
      <c r="S28" s="281"/>
      <c r="T28" s="281"/>
      <c r="U28" s="281"/>
      <c r="V28" s="281"/>
      <c r="W28" s="281"/>
      <c r="X28" s="281"/>
      <c r="Y28" s="281"/>
      <c r="Z28" s="281"/>
      <c r="AA28" s="281"/>
      <c r="AB28" s="281"/>
      <c r="AC28" s="282"/>
    </row>
    <row r="29" spans="1:33" ht="23.45" customHeight="1">
      <c r="A29" s="484" t="s">
        <v>948</v>
      </c>
      <c r="B29" s="485"/>
      <c r="C29" s="485"/>
      <c r="D29" s="485"/>
      <c r="E29" s="486"/>
      <c r="F29" s="440" t="s">
        <v>964</v>
      </c>
      <c r="G29" s="441"/>
      <c r="H29" s="441"/>
      <c r="I29" s="441"/>
      <c r="J29" s="441"/>
      <c r="K29" s="441"/>
      <c r="L29" s="441"/>
      <c r="M29" s="441"/>
      <c r="N29" s="442"/>
      <c r="O29" s="470" t="s">
        <v>959</v>
      </c>
      <c r="P29" s="470"/>
      <c r="Q29" s="470"/>
      <c r="R29" s="470"/>
      <c r="S29" s="470"/>
      <c r="T29" s="470"/>
      <c r="U29" s="470"/>
      <c r="V29" s="470"/>
      <c r="W29" s="470"/>
      <c r="X29" s="470"/>
      <c r="Y29" s="470"/>
      <c r="Z29" s="470"/>
      <c r="AA29" s="470"/>
      <c r="AB29" s="470"/>
      <c r="AC29" s="470"/>
    </row>
    <row r="30" spans="1:33" ht="23.45" customHeight="1">
      <c r="A30" s="482" t="s">
        <v>955</v>
      </c>
      <c r="B30" s="483"/>
      <c r="C30" s="483"/>
      <c r="D30" s="483"/>
      <c r="E30" s="483"/>
      <c r="F30" s="470" t="s">
        <v>964</v>
      </c>
      <c r="G30" s="470"/>
      <c r="H30" s="470"/>
      <c r="I30" s="470"/>
      <c r="J30" s="470"/>
      <c r="K30" s="470"/>
      <c r="L30" s="470"/>
      <c r="M30" s="470"/>
      <c r="N30" s="470"/>
      <c r="O30" s="470" t="s">
        <v>959</v>
      </c>
      <c r="P30" s="470"/>
      <c r="Q30" s="470"/>
      <c r="R30" s="470"/>
      <c r="S30" s="470"/>
      <c r="T30" s="470"/>
      <c r="U30" s="470"/>
      <c r="V30" s="470"/>
      <c r="W30" s="470"/>
      <c r="X30" s="470"/>
      <c r="Y30" s="470"/>
      <c r="Z30" s="470"/>
      <c r="AA30" s="470"/>
      <c r="AB30" s="470"/>
      <c r="AC30" s="470"/>
      <c r="AD30" s="468" t="s">
        <v>958</v>
      </c>
      <c r="AE30" s="469"/>
      <c r="AF30" s="469"/>
      <c r="AG30" s="469"/>
    </row>
    <row r="31" spans="1:33" ht="20.100000000000001" customHeight="1">
      <c r="A31" s="233"/>
      <c r="B31" s="233"/>
      <c r="C31" s="233"/>
      <c r="D31" s="233"/>
      <c r="E31" s="233"/>
      <c r="F31" s="233"/>
      <c r="G31" s="233"/>
      <c r="H31" s="233"/>
      <c r="I31" s="233"/>
      <c r="J31" s="233"/>
      <c r="K31" s="233"/>
      <c r="L31" s="233"/>
      <c r="M31" s="233"/>
      <c r="N31" s="233"/>
      <c r="O31" s="233"/>
      <c r="P31" s="233"/>
      <c r="Q31" s="233"/>
      <c r="R31" s="233"/>
      <c r="S31" s="233"/>
      <c r="T31" s="233"/>
      <c r="U31" s="233"/>
      <c r="V31" s="232"/>
      <c r="W31" s="232"/>
      <c r="X31" s="232"/>
      <c r="Y31" s="232"/>
    </row>
    <row r="32" spans="1:33" ht="20.100000000000001" customHeight="1">
      <c r="A32" s="233"/>
      <c r="B32" s="231"/>
      <c r="C32" s="231"/>
      <c r="D32" s="231"/>
      <c r="E32" s="231"/>
      <c r="F32" s="231"/>
      <c r="G32" s="231"/>
      <c r="H32" s="231"/>
      <c r="I32" s="231"/>
      <c r="J32" s="231"/>
      <c r="K32" s="231"/>
      <c r="L32" s="233"/>
      <c r="M32" s="233"/>
      <c r="Q32" s="222"/>
      <c r="V32" s="470" t="s">
        <v>953</v>
      </c>
      <c r="W32" s="470"/>
      <c r="X32" s="470"/>
      <c r="Y32" s="470"/>
      <c r="Z32" s="470" t="s">
        <v>952</v>
      </c>
      <c r="AA32" s="470"/>
      <c r="AB32" s="470"/>
      <c r="AC32" s="470"/>
    </row>
    <row r="33" spans="1:29" ht="20.100000000000001" customHeight="1">
      <c r="A33" s="233"/>
      <c r="B33" s="233"/>
      <c r="C33" s="233"/>
      <c r="D33" s="233"/>
      <c r="E33" s="233"/>
      <c r="F33" s="233"/>
      <c r="G33" s="233"/>
      <c r="H33" s="233"/>
      <c r="I33" s="233"/>
      <c r="J33" s="233"/>
      <c r="K33" s="233"/>
      <c r="L33" s="233"/>
      <c r="M33" s="233"/>
      <c r="Q33" s="222"/>
      <c r="V33" s="470"/>
      <c r="W33" s="470"/>
      <c r="X33" s="470"/>
      <c r="Y33" s="470"/>
      <c r="Z33" s="470"/>
      <c r="AA33" s="470"/>
      <c r="AB33" s="470"/>
      <c r="AC33" s="470"/>
    </row>
    <row r="34" spans="1:29" ht="20.100000000000001" customHeight="1">
      <c r="A34" s="233"/>
      <c r="B34" s="233"/>
      <c r="C34" s="233"/>
      <c r="D34" s="233"/>
      <c r="E34" s="233"/>
      <c r="F34" s="233"/>
      <c r="G34" s="233"/>
      <c r="H34" s="233"/>
      <c r="I34" s="233"/>
      <c r="J34" s="233"/>
      <c r="K34" s="233"/>
      <c r="L34" s="233"/>
      <c r="Q34" s="222"/>
      <c r="V34" s="470"/>
      <c r="W34" s="470"/>
      <c r="X34" s="470"/>
      <c r="Y34" s="470"/>
      <c r="Z34" s="470"/>
      <c r="AA34" s="470"/>
      <c r="AB34" s="470"/>
      <c r="AC34" s="470"/>
    </row>
    <row r="35" spans="1:29" ht="20.100000000000001" customHeight="1">
      <c r="A35" s="233"/>
      <c r="B35" s="233"/>
      <c r="C35" s="233"/>
      <c r="D35" s="233"/>
      <c r="E35" s="233"/>
      <c r="F35" s="233"/>
      <c r="G35" s="233"/>
      <c r="H35" s="233"/>
      <c r="I35" s="233"/>
      <c r="J35" s="233"/>
      <c r="K35" s="233"/>
      <c r="L35" s="233"/>
      <c r="Q35" s="222"/>
      <c r="V35" s="470"/>
      <c r="W35" s="470"/>
      <c r="X35" s="470"/>
      <c r="Y35" s="470"/>
      <c r="Z35" s="470"/>
      <c r="AA35" s="470"/>
      <c r="AB35" s="470"/>
      <c r="AC35" s="470"/>
    </row>
    <row r="36" spans="1:29" ht="20.100000000000001" customHeight="1">
      <c r="A36" s="233"/>
      <c r="B36" s="233"/>
      <c r="C36" s="233"/>
      <c r="D36" s="233"/>
      <c r="E36" s="233"/>
      <c r="F36" s="233"/>
      <c r="G36" s="233"/>
      <c r="H36" s="233"/>
      <c r="I36" s="233"/>
      <c r="J36" s="233"/>
      <c r="K36" s="233"/>
      <c r="L36" s="233"/>
      <c r="M36" s="233"/>
      <c r="Q36" s="222"/>
      <c r="V36" s="477"/>
      <c r="W36" s="477"/>
      <c r="X36" s="477"/>
      <c r="Y36" s="477"/>
      <c r="Z36" s="477"/>
      <c r="AA36" s="477"/>
      <c r="AB36" s="477"/>
      <c r="AC36" s="477"/>
    </row>
    <row r="37" spans="1:29" ht="20.100000000000001" customHeight="1">
      <c r="A37" s="233"/>
      <c r="B37" s="233"/>
      <c r="C37" s="233"/>
      <c r="D37" s="233"/>
      <c r="E37" s="233"/>
      <c r="F37" s="233"/>
      <c r="G37" s="233"/>
      <c r="H37" s="233"/>
      <c r="I37" s="233"/>
      <c r="J37" s="233"/>
      <c r="K37" s="233"/>
      <c r="L37" s="233"/>
      <c r="M37" s="481"/>
      <c r="N37" s="480"/>
      <c r="O37" s="481"/>
      <c r="P37" s="481"/>
      <c r="Q37" s="480"/>
      <c r="R37" s="480"/>
      <c r="S37" s="481"/>
      <c r="T37" s="480"/>
      <c r="U37" s="480"/>
    </row>
    <row r="38" spans="1:29" ht="20.100000000000001" customHeight="1">
      <c r="A38" s="233"/>
      <c r="B38" s="233"/>
      <c r="C38" s="233"/>
      <c r="D38" s="233"/>
      <c r="E38" s="233"/>
      <c r="F38" s="233"/>
      <c r="G38" s="233"/>
      <c r="H38" s="233"/>
      <c r="I38" s="233"/>
      <c r="J38" s="233"/>
      <c r="K38" s="233"/>
      <c r="L38" s="233"/>
      <c r="M38" s="480"/>
      <c r="N38" s="480"/>
      <c r="O38" s="480"/>
      <c r="P38" s="480"/>
      <c r="Q38" s="480"/>
      <c r="R38" s="480"/>
      <c r="S38" s="480"/>
      <c r="T38" s="480"/>
      <c r="U38" s="480"/>
    </row>
    <row r="40" spans="1:29" s="226" customFormat="1" ht="20.100000000000001" customHeight="1">
      <c r="A40" s="304" t="s">
        <v>353</v>
      </c>
      <c r="B40" s="478"/>
      <c r="C40" s="478"/>
      <c r="D40" s="478"/>
      <c r="E40" s="234"/>
      <c r="F40" s="479"/>
      <c r="G40" s="478"/>
      <c r="H40" s="478"/>
      <c r="I40" s="478"/>
      <c r="J40" s="478"/>
      <c r="K40" s="478"/>
      <c r="L40" s="478"/>
      <c r="M40" s="478"/>
      <c r="N40" s="478"/>
      <c r="O40" s="478"/>
      <c r="P40" s="478"/>
      <c r="Q40" s="478"/>
      <c r="R40" s="225" t="s">
        <v>354</v>
      </c>
      <c r="S40" s="478"/>
      <c r="T40" s="478"/>
      <c r="U40" s="478"/>
    </row>
  </sheetData>
  <mergeCells count="84">
    <mergeCell ref="O22:P22"/>
    <mergeCell ref="Q19:R19"/>
    <mergeCell ref="W17:AC17"/>
    <mergeCell ref="W18:AC18"/>
    <mergeCell ref="W19:AC19"/>
    <mergeCell ref="W20:AC20"/>
    <mergeCell ref="W21:AC21"/>
    <mergeCell ref="O17:P17"/>
    <mergeCell ref="O18:P18"/>
    <mergeCell ref="O19:P19"/>
    <mergeCell ref="O20:P20"/>
    <mergeCell ref="O21:P21"/>
    <mergeCell ref="A30:E30"/>
    <mergeCell ref="F30:N30"/>
    <mergeCell ref="O30:AC30"/>
    <mergeCell ref="A29:E29"/>
    <mergeCell ref="A25:E28"/>
    <mergeCell ref="F25:AC28"/>
    <mergeCell ref="V32:Y32"/>
    <mergeCell ref="Z32:AC32"/>
    <mergeCell ref="V33:Y36"/>
    <mergeCell ref="Z33:AC36"/>
    <mergeCell ref="A40:D40"/>
    <mergeCell ref="F40:Q40"/>
    <mergeCell ref="S40:U40"/>
    <mergeCell ref="M38:N38"/>
    <mergeCell ref="O38:R38"/>
    <mergeCell ref="S38:U38"/>
    <mergeCell ref="M37:N37"/>
    <mergeCell ref="O37:R37"/>
    <mergeCell ref="S37:U37"/>
    <mergeCell ref="F19:N19"/>
    <mergeCell ref="W22:AC22"/>
    <mergeCell ref="S20:V20"/>
    <mergeCell ref="S21:V21"/>
    <mergeCell ref="AD30:AG30"/>
    <mergeCell ref="O29:AC29"/>
    <mergeCell ref="F29:N29"/>
    <mergeCell ref="F21:N21"/>
    <mergeCell ref="Q21:R21"/>
    <mergeCell ref="F22:N22"/>
    <mergeCell ref="Q22:R22"/>
    <mergeCell ref="W23:AC23"/>
    <mergeCell ref="W24:AC24"/>
    <mergeCell ref="F23:V23"/>
    <mergeCell ref="F24:V24"/>
    <mergeCell ref="S22:V22"/>
    <mergeCell ref="F13:AC13"/>
    <mergeCell ref="A14:E14"/>
    <mergeCell ref="F14:R14"/>
    <mergeCell ref="S14:AC14"/>
    <mergeCell ref="F20:N20"/>
    <mergeCell ref="Q20:R20"/>
    <mergeCell ref="S19:V19"/>
    <mergeCell ref="A16:E16"/>
    <mergeCell ref="F16:AC16"/>
    <mergeCell ref="A17:E24"/>
    <mergeCell ref="F17:N17"/>
    <mergeCell ref="Q17:R17"/>
    <mergeCell ref="F18:N18"/>
    <mergeCell ref="Q18:R18"/>
    <mergeCell ref="S17:V17"/>
    <mergeCell ref="S18:V18"/>
    <mergeCell ref="A2:AC2"/>
    <mergeCell ref="A4:AC4"/>
    <mergeCell ref="A5:E5"/>
    <mergeCell ref="F5:AC5"/>
    <mergeCell ref="F6:AC6"/>
    <mergeCell ref="A15:E15"/>
    <mergeCell ref="F15:AC15"/>
    <mergeCell ref="A10:E10"/>
    <mergeCell ref="A7:E7"/>
    <mergeCell ref="F7:AC7"/>
    <mergeCell ref="A8:E8"/>
    <mergeCell ref="F8:AC8"/>
    <mergeCell ref="A9:E9"/>
    <mergeCell ref="F9:U9"/>
    <mergeCell ref="V9:AC9"/>
    <mergeCell ref="F10:AC10"/>
    <mergeCell ref="A11:E11"/>
    <mergeCell ref="F11:AC11"/>
    <mergeCell ref="A12:E12"/>
    <mergeCell ref="F12:AC12"/>
    <mergeCell ref="A13:E13"/>
  </mergeCells>
  <phoneticPr fontId="5"/>
  <printOptions horizontalCentered="1" verticalCentered="1"/>
  <pageMargins left="0.31496062992125984" right="0.31496062992125984" top="0.15748031496062992" bottom="0.15748031496062992" header="0.31496062992125984" footer="0.31496062992125984"/>
  <pageSetup paperSize="9" scale="9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1FEDD-73B4-49E7-9600-1A35E978E116}">
  <sheetPr codeName="Sheet2"/>
  <dimension ref="A1:W15"/>
  <sheetViews>
    <sheetView zoomScale="69" workbookViewId="0">
      <selection activeCell="F25" sqref="F25"/>
    </sheetView>
  </sheetViews>
  <sheetFormatPr defaultRowHeight="12"/>
  <cols>
    <col min="1" max="1" width="15.140625" customWidth="1"/>
    <col min="2" max="2" width="25.140625" customWidth="1"/>
    <col min="3" max="3" width="12.85546875" customWidth="1"/>
    <col min="4" max="4" width="17" customWidth="1"/>
    <col min="5" max="5" width="24.140625" customWidth="1"/>
    <col min="6" max="6" width="20.42578125" customWidth="1"/>
    <col min="7" max="7" width="14.7109375" customWidth="1"/>
    <col min="8" max="8" width="14" customWidth="1"/>
    <col min="9" max="9" width="15.140625" bestFit="1" customWidth="1"/>
    <col min="10" max="10" width="20" customWidth="1"/>
    <col min="11" max="11" width="13.28515625" customWidth="1"/>
    <col min="12" max="12" width="17.42578125" customWidth="1"/>
    <col min="13" max="13" width="15.140625" customWidth="1"/>
    <col min="14" max="14" width="15.140625" bestFit="1" customWidth="1"/>
    <col min="15" max="15" width="20" bestFit="1" customWidth="1"/>
    <col min="16" max="16" width="54.42578125" bestFit="1" customWidth="1"/>
    <col min="17" max="17" width="17.5703125" bestFit="1" customWidth="1"/>
    <col min="18" max="18" width="15.140625" bestFit="1" customWidth="1"/>
    <col min="19" max="19" width="17.5703125" bestFit="1" customWidth="1"/>
    <col min="20" max="23" width="27" bestFit="1" customWidth="1"/>
  </cols>
  <sheetData>
    <row r="1" spans="1:23" ht="81.599999999999994" customHeight="1"/>
    <row r="2" spans="1:23" s="37" customFormat="1" ht="70.5" customHeight="1">
      <c r="A2" s="51" t="s">
        <v>308</v>
      </c>
      <c r="B2" s="51" t="s">
        <v>309</v>
      </c>
      <c r="C2" s="51" t="s">
        <v>310</v>
      </c>
      <c r="D2" s="38" t="s">
        <v>311</v>
      </c>
      <c r="E2" s="38" t="s">
        <v>30</v>
      </c>
      <c r="F2" s="38" t="s">
        <v>31</v>
      </c>
      <c r="G2" s="39" t="s">
        <v>33</v>
      </c>
      <c r="H2" s="39" t="s">
        <v>34</v>
      </c>
      <c r="I2" s="40" t="s">
        <v>312</v>
      </c>
      <c r="J2" s="43" t="s">
        <v>313</v>
      </c>
      <c r="K2" s="44" t="s">
        <v>41</v>
      </c>
      <c r="L2" s="44" t="s">
        <v>314</v>
      </c>
      <c r="M2" s="44" t="s">
        <v>315</v>
      </c>
      <c r="N2" s="44" t="s">
        <v>316</v>
      </c>
      <c r="O2" s="35" t="s">
        <v>44</v>
      </c>
      <c r="P2" s="36" t="s">
        <v>45</v>
      </c>
      <c r="Q2" s="36" t="s">
        <v>46</v>
      </c>
      <c r="R2" s="36" t="s">
        <v>47</v>
      </c>
      <c r="S2" s="36" t="s">
        <v>317</v>
      </c>
      <c r="T2" s="36" t="s">
        <v>318</v>
      </c>
      <c r="U2" s="36" t="s">
        <v>319</v>
      </c>
      <c r="V2" s="36" t="s">
        <v>320</v>
      </c>
      <c r="W2" s="36" t="s">
        <v>321</v>
      </c>
    </row>
    <row r="3" spans="1:23" ht="28.5">
      <c r="A3" s="52">
        <v>301</v>
      </c>
      <c r="B3" s="52"/>
      <c r="C3" s="52"/>
      <c r="D3" s="52" t="s">
        <v>919</v>
      </c>
      <c r="E3" s="53" t="s">
        <v>323</v>
      </c>
      <c r="F3" s="53" t="s">
        <v>920</v>
      </c>
      <c r="G3" s="53">
        <v>46093</v>
      </c>
      <c r="H3" s="53">
        <v>46093</v>
      </c>
      <c r="I3" s="52">
        <v>14665</v>
      </c>
      <c r="J3" s="53">
        <v>46099</v>
      </c>
      <c r="K3" s="53" t="s">
        <v>61</v>
      </c>
      <c r="L3" s="53" t="s">
        <v>921</v>
      </c>
      <c r="M3" s="52" t="s">
        <v>922</v>
      </c>
      <c r="N3" s="53">
        <v>46093</v>
      </c>
      <c r="O3" s="53">
        <v>46093</v>
      </c>
      <c r="P3" s="52" t="s">
        <v>923</v>
      </c>
      <c r="Q3" s="52">
        <v>1111</v>
      </c>
      <c r="R3" s="52">
        <v>111111</v>
      </c>
      <c r="S3" s="52" t="s">
        <v>58</v>
      </c>
      <c r="T3" s="76" t="s">
        <v>924</v>
      </c>
      <c r="U3" s="52"/>
      <c r="V3" s="52"/>
      <c r="W3" s="52"/>
    </row>
    <row r="4" spans="1:23" ht="14.25">
      <c r="A4" s="220">
        <v>302</v>
      </c>
      <c r="B4" s="220"/>
      <c r="C4" s="220"/>
      <c r="D4" s="220" t="s">
        <v>919</v>
      </c>
      <c r="E4" s="221" t="s">
        <v>323</v>
      </c>
      <c r="F4" s="221" t="s">
        <v>920</v>
      </c>
      <c r="G4" s="221">
        <v>46093</v>
      </c>
      <c r="H4" s="221">
        <v>46093</v>
      </c>
      <c r="I4" s="220">
        <v>14665</v>
      </c>
      <c r="J4" s="221">
        <v>46099</v>
      </c>
      <c r="K4" s="221"/>
      <c r="L4" s="221"/>
      <c r="M4" s="220"/>
      <c r="N4" s="221">
        <v>46093</v>
      </c>
      <c r="O4" s="221">
        <v>46093</v>
      </c>
      <c r="P4" s="220"/>
      <c r="Q4" s="220"/>
      <c r="R4" s="220"/>
      <c r="S4" s="220"/>
      <c r="T4" s="220"/>
      <c r="U4" s="220"/>
      <c r="V4" s="220"/>
      <c r="W4" s="220"/>
    </row>
    <row r="5" spans="1:23" ht="14.25">
      <c r="A5" s="220">
        <v>303</v>
      </c>
      <c r="B5" s="220"/>
      <c r="C5" s="220"/>
      <c r="D5" s="220" t="s">
        <v>919</v>
      </c>
      <c r="E5" s="220" t="s">
        <v>925</v>
      </c>
      <c r="F5" s="220" t="s">
        <v>926</v>
      </c>
      <c r="G5" s="221">
        <v>46091</v>
      </c>
      <c r="H5" s="221">
        <v>46098</v>
      </c>
      <c r="I5" s="220">
        <v>1357</v>
      </c>
      <c r="J5" s="221">
        <v>46099</v>
      </c>
      <c r="K5" s="220" t="s">
        <v>926</v>
      </c>
      <c r="L5" s="220" t="s">
        <v>926</v>
      </c>
      <c r="M5" s="220"/>
      <c r="N5" s="221">
        <v>46099</v>
      </c>
      <c r="O5" s="221">
        <v>46098</v>
      </c>
      <c r="P5" s="220" t="s">
        <v>926</v>
      </c>
      <c r="Q5" s="220"/>
      <c r="R5" s="220" t="s">
        <v>926</v>
      </c>
      <c r="S5" s="220" t="s">
        <v>926</v>
      </c>
      <c r="T5" s="220" t="s">
        <v>926</v>
      </c>
      <c r="U5" s="220" t="s">
        <v>339</v>
      </c>
      <c r="V5" s="220" t="s">
        <v>339</v>
      </c>
      <c r="W5" s="220" t="s">
        <v>339</v>
      </c>
    </row>
    <row r="6" spans="1:23" ht="14.25">
      <c r="A6" s="220">
        <v>304</v>
      </c>
      <c r="B6" s="220"/>
      <c r="C6" s="220"/>
      <c r="D6" s="220" t="s">
        <v>919</v>
      </c>
      <c r="E6" s="220" t="s">
        <v>925</v>
      </c>
      <c r="F6" s="220" t="s">
        <v>926</v>
      </c>
      <c r="G6" s="221">
        <v>46105</v>
      </c>
      <c r="H6" s="221">
        <v>46105</v>
      </c>
      <c r="I6" s="220">
        <v>5500</v>
      </c>
      <c r="J6" s="221">
        <v>46105</v>
      </c>
      <c r="K6" s="220" t="s">
        <v>927</v>
      </c>
      <c r="L6" s="220" t="s">
        <v>928</v>
      </c>
      <c r="M6" s="220"/>
      <c r="N6" s="221">
        <v>46105</v>
      </c>
      <c r="O6" s="221">
        <v>46105</v>
      </c>
      <c r="P6" s="220"/>
      <c r="Q6" s="220"/>
      <c r="R6" s="220"/>
      <c r="S6" s="220"/>
      <c r="T6" s="220"/>
      <c r="U6" s="220"/>
      <c r="V6" s="220"/>
      <c r="W6" s="220"/>
    </row>
    <row r="7" spans="1:23" ht="14.25">
      <c r="A7" s="220">
        <v>305</v>
      </c>
      <c r="B7" s="220"/>
      <c r="C7" s="220"/>
      <c r="D7" s="220" t="s">
        <v>919</v>
      </c>
      <c r="E7" s="220" t="s">
        <v>323</v>
      </c>
      <c r="F7" s="220" t="s">
        <v>936</v>
      </c>
      <c r="G7" s="221">
        <v>46125</v>
      </c>
      <c r="H7" s="221">
        <v>46125</v>
      </c>
      <c r="I7" s="220">
        <v>1100000</v>
      </c>
      <c r="J7" s="221">
        <v>46157</v>
      </c>
      <c r="K7" s="220" t="s">
        <v>939</v>
      </c>
      <c r="L7" s="220"/>
      <c r="M7" s="220" t="s">
        <v>88</v>
      </c>
      <c r="N7" s="221">
        <v>46157</v>
      </c>
      <c r="O7" s="221">
        <v>46125</v>
      </c>
      <c r="P7" s="220" t="s">
        <v>938</v>
      </c>
      <c r="Q7" s="220" t="s">
        <v>99</v>
      </c>
      <c r="R7" s="220" t="s">
        <v>100</v>
      </c>
      <c r="S7" s="220"/>
      <c r="T7" s="220" t="s">
        <v>936</v>
      </c>
      <c r="U7" s="220"/>
      <c r="V7" s="220"/>
      <c r="W7" s="220"/>
    </row>
    <row r="8" spans="1:23" ht="14.25">
      <c r="A8" s="220">
        <v>306</v>
      </c>
      <c r="B8" s="220"/>
      <c r="C8" s="220"/>
      <c r="D8" s="220" t="s">
        <v>919</v>
      </c>
      <c r="E8" s="220" t="s">
        <v>323</v>
      </c>
      <c r="F8" s="220" t="s">
        <v>936</v>
      </c>
      <c r="G8" s="221">
        <v>46125</v>
      </c>
      <c r="H8" s="221">
        <v>46125</v>
      </c>
      <c r="I8" s="220">
        <v>1000000</v>
      </c>
      <c r="J8" s="221">
        <v>46160</v>
      </c>
      <c r="K8" s="220" t="s">
        <v>939</v>
      </c>
      <c r="L8" s="220"/>
      <c r="M8" s="220" t="s">
        <v>88</v>
      </c>
      <c r="N8" s="221">
        <v>46157</v>
      </c>
      <c r="O8" s="221">
        <v>46125</v>
      </c>
      <c r="P8" s="220" t="s">
        <v>938</v>
      </c>
      <c r="Q8" s="220" t="s">
        <v>99</v>
      </c>
      <c r="R8" s="220" t="s">
        <v>100</v>
      </c>
      <c r="S8" s="220"/>
      <c r="T8" s="220" t="s">
        <v>936</v>
      </c>
      <c r="U8" s="220"/>
      <c r="V8" s="220"/>
      <c r="W8" s="220"/>
    </row>
    <row r="9" spans="1:23" ht="14.25">
      <c r="A9" s="220">
        <v>307</v>
      </c>
      <c r="B9" s="220"/>
      <c r="C9" s="220"/>
      <c r="D9" s="220" t="s">
        <v>919</v>
      </c>
      <c r="E9" s="220" t="s">
        <v>925</v>
      </c>
      <c r="F9" s="220" t="s">
        <v>977</v>
      </c>
      <c r="G9" s="221">
        <v>46113</v>
      </c>
      <c r="H9" s="221">
        <v>46143</v>
      </c>
      <c r="I9" s="220">
        <v>505150000</v>
      </c>
      <c r="J9" s="221">
        <v>46160</v>
      </c>
      <c r="K9" s="220" t="s">
        <v>990</v>
      </c>
      <c r="L9" s="220"/>
      <c r="M9" s="220" t="s">
        <v>385</v>
      </c>
      <c r="N9" s="221">
        <v>46204</v>
      </c>
      <c r="O9" s="221">
        <v>46174</v>
      </c>
      <c r="P9" s="220" t="s">
        <v>986</v>
      </c>
      <c r="Q9" s="220" t="s">
        <v>99</v>
      </c>
      <c r="R9" s="220" t="s">
        <v>100</v>
      </c>
      <c r="S9" s="220"/>
      <c r="T9" s="220"/>
      <c r="U9" s="220"/>
      <c r="V9" s="220"/>
      <c r="W9" s="220"/>
    </row>
    <row r="10" spans="1:23" ht="14.25">
      <c r="A10" s="220">
        <v>308</v>
      </c>
      <c r="B10" s="220"/>
      <c r="C10" s="220"/>
      <c r="D10" s="220" t="s">
        <v>919</v>
      </c>
      <c r="E10" s="220" t="s">
        <v>925</v>
      </c>
      <c r="F10" s="220" t="s">
        <v>977</v>
      </c>
      <c r="G10" s="221">
        <v>46113</v>
      </c>
      <c r="H10" s="221">
        <v>46143</v>
      </c>
      <c r="I10" s="220">
        <v>555665000</v>
      </c>
      <c r="J10" s="221">
        <v>46160</v>
      </c>
      <c r="K10" s="220" t="s">
        <v>990</v>
      </c>
      <c r="L10" s="220"/>
      <c r="M10" s="220" t="s">
        <v>385</v>
      </c>
      <c r="N10" s="221">
        <v>46204</v>
      </c>
      <c r="O10" s="221">
        <v>46174</v>
      </c>
      <c r="P10" s="220" t="s">
        <v>986</v>
      </c>
      <c r="Q10" s="220" t="s">
        <v>99</v>
      </c>
      <c r="R10" s="220" t="s">
        <v>100</v>
      </c>
      <c r="S10" s="220"/>
      <c r="T10" s="220"/>
      <c r="U10" s="220"/>
      <c r="V10" s="220"/>
      <c r="W10" s="220"/>
    </row>
    <row r="11" spans="1:23" ht="14.25">
      <c r="A11" s="220">
        <v>309</v>
      </c>
      <c r="B11" s="220"/>
      <c r="C11" s="220"/>
      <c r="D11" s="220" t="s">
        <v>919</v>
      </c>
      <c r="E11" s="220" t="s">
        <v>925</v>
      </c>
      <c r="F11" s="220" t="s">
        <v>1000</v>
      </c>
      <c r="G11" s="221">
        <v>46113</v>
      </c>
      <c r="H11" s="221">
        <v>46143</v>
      </c>
      <c r="I11" s="220">
        <v>555665000</v>
      </c>
      <c r="J11" s="221">
        <v>46160</v>
      </c>
      <c r="K11" s="220" t="s">
        <v>990</v>
      </c>
      <c r="L11" s="220"/>
      <c r="M11" s="220" t="s">
        <v>385</v>
      </c>
      <c r="N11" s="221">
        <v>46204</v>
      </c>
      <c r="O11" s="221">
        <v>46174</v>
      </c>
      <c r="P11" s="220" t="s">
        <v>986</v>
      </c>
      <c r="Q11" s="220" t="s">
        <v>99</v>
      </c>
      <c r="R11" s="220" t="s">
        <v>100</v>
      </c>
      <c r="S11" s="220"/>
      <c r="T11" s="220" t="s">
        <v>1001</v>
      </c>
      <c r="U11" s="220"/>
      <c r="V11" s="220"/>
      <c r="W11" s="220"/>
    </row>
    <row r="12" spans="1:23" ht="14.25">
      <c r="A12" s="220">
        <v>310</v>
      </c>
      <c r="B12" s="220"/>
      <c r="C12" s="220"/>
      <c r="D12" s="220" t="s">
        <v>919</v>
      </c>
      <c r="E12" s="220" t="s">
        <v>323</v>
      </c>
      <c r="F12" s="220" t="s">
        <v>936</v>
      </c>
      <c r="G12" s="221">
        <v>46125</v>
      </c>
      <c r="H12" s="221">
        <v>46125</v>
      </c>
      <c r="I12" s="220">
        <v>15000000</v>
      </c>
      <c r="J12" s="221">
        <v>46160</v>
      </c>
      <c r="K12" s="220" t="s">
        <v>939</v>
      </c>
      <c r="L12" s="220"/>
      <c r="M12" s="220" t="s">
        <v>88</v>
      </c>
      <c r="N12" s="221">
        <v>46157</v>
      </c>
      <c r="O12" s="221">
        <v>46125</v>
      </c>
      <c r="P12" s="220" t="s">
        <v>938</v>
      </c>
      <c r="Q12" s="220" t="s">
        <v>99</v>
      </c>
      <c r="R12" s="220" t="s">
        <v>100</v>
      </c>
      <c r="S12" s="220"/>
      <c r="T12" s="220" t="s">
        <v>936</v>
      </c>
      <c r="U12" s="220"/>
      <c r="V12" s="220"/>
      <c r="W12" s="220"/>
    </row>
    <row r="13" spans="1:23" ht="14.25">
      <c r="A13" s="220">
        <v>311</v>
      </c>
      <c r="B13" s="220"/>
      <c r="C13" s="220"/>
      <c r="D13" s="220" t="s">
        <v>919</v>
      </c>
      <c r="E13" s="220" t="s">
        <v>323</v>
      </c>
      <c r="F13" s="220" t="s">
        <v>936</v>
      </c>
      <c r="G13" s="221">
        <v>46125</v>
      </c>
      <c r="H13" s="221">
        <v>46125</v>
      </c>
      <c r="I13" s="220">
        <v>16500000</v>
      </c>
      <c r="J13" s="221">
        <v>46160</v>
      </c>
      <c r="K13" s="220" t="s">
        <v>939</v>
      </c>
      <c r="L13" s="220"/>
      <c r="M13" s="220" t="s">
        <v>88</v>
      </c>
      <c r="N13" s="221">
        <v>46157</v>
      </c>
      <c r="O13" s="221">
        <v>46125</v>
      </c>
      <c r="P13" s="220" t="s">
        <v>938</v>
      </c>
      <c r="Q13" s="220" t="s">
        <v>99</v>
      </c>
      <c r="R13" s="220" t="s">
        <v>100</v>
      </c>
      <c r="S13" s="220"/>
      <c r="T13" s="220" t="s">
        <v>936</v>
      </c>
      <c r="U13" s="220"/>
      <c r="V13" s="220"/>
      <c r="W13" s="220"/>
    </row>
    <row r="14" spans="1:23" ht="14.25">
      <c r="A14" s="52">
        <v>312</v>
      </c>
      <c r="B14" s="52"/>
      <c r="C14" s="52"/>
      <c r="D14" s="52" t="s">
        <v>919</v>
      </c>
      <c r="E14" s="52" t="s">
        <v>323</v>
      </c>
      <c r="F14" s="52" t="s">
        <v>936</v>
      </c>
      <c r="G14" s="53">
        <v>46125</v>
      </c>
      <c r="H14" s="53">
        <v>46125</v>
      </c>
      <c r="I14" s="52">
        <v>16500000</v>
      </c>
      <c r="J14" s="53">
        <v>46160</v>
      </c>
      <c r="K14" s="52" t="s">
        <v>939</v>
      </c>
      <c r="L14" s="52"/>
      <c r="M14" s="52" t="s">
        <v>88</v>
      </c>
      <c r="N14" s="53">
        <v>46157</v>
      </c>
      <c r="O14" s="53">
        <v>46125</v>
      </c>
      <c r="P14" s="52" t="s">
        <v>938</v>
      </c>
      <c r="Q14" s="52" t="s">
        <v>99</v>
      </c>
      <c r="R14" s="52" t="s">
        <v>100</v>
      </c>
      <c r="S14" s="52"/>
      <c r="T14" s="52" t="s">
        <v>936</v>
      </c>
      <c r="U14" s="52"/>
      <c r="V14" s="52"/>
      <c r="W14" s="52"/>
    </row>
    <row r="15" spans="1:23" ht="14.25">
      <c r="A15" s="52">
        <v>313</v>
      </c>
      <c r="B15" s="52"/>
      <c r="C15" s="52"/>
      <c r="D15" s="52" t="s">
        <v>919</v>
      </c>
      <c r="E15" s="52" t="s">
        <v>323</v>
      </c>
      <c r="F15" s="52" t="s">
        <v>936</v>
      </c>
      <c r="G15" s="53">
        <v>46125</v>
      </c>
      <c r="H15" s="53">
        <v>46125</v>
      </c>
      <c r="I15" s="52">
        <v>16500000</v>
      </c>
      <c r="J15" s="53">
        <v>46160</v>
      </c>
      <c r="K15" s="52" t="s">
        <v>939</v>
      </c>
      <c r="L15" s="52"/>
      <c r="M15" s="52" t="s">
        <v>88</v>
      </c>
      <c r="N15" s="53">
        <v>46157</v>
      </c>
      <c r="O15" s="53">
        <v>46125</v>
      </c>
      <c r="P15" s="52" t="s">
        <v>938</v>
      </c>
      <c r="Q15" s="52" t="s">
        <v>99</v>
      </c>
      <c r="R15" s="52" t="s">
        <v>100</v>
      </c>
      <c r="S15" s="52"/>
      <c r="T15" s="52" t="s">
        <v>936</v>
      </c>
      <c r="U15" s="52"/>
      <c r="V15" s="52"/>
      <c r="W15" s="52"/>
    </row>
  </sheetData>
  <sheetProtection algorithmName="SHA-512" hashValue="c53ihnRxDSwBGDXaWGM0i3e0IXF4r+GJ9XLDJkI1em/LpfxV5ia6QgL+yOhPcvhm0GHkTPSWgrMSIfKxBnwntQ==" saltValue="EsdUl5NtTkPCQAsPSlwpzQ==" spinCount="100000" sheet="1" objects="1" scenarios="1" sort="0" autoFilter="0"/>
  <phoneticPr fontId="5"/>
  <conditionalFormatting sqref="J2:W2">
    <cfRule type="cellIs" dxfId="0" priority="1" stopIfTrue="1" operator="equal">
      <formula>0</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5ADB1-C3EC-46D2-87B2-744D2FA76F63}">
  <sheetPr codeName="Sheet4"/>
  <dimension ref="A1:X50"/>
  <sheetViews>
    <sheetView view="pageBreakPreview" topLeftCell="A4" zoomScale="85" zoomScaleNormal="100" zoomScaleSheetLayoutView="85" workbookViewId="0">
      <selection activeCell="G9" sqref="G9:L9"/>
    </sheetView>
  </sheetViews>
  <sheetFormatPr defaultColWidth="9" defaultRowHeight="15.75"/>
  <cols>
    <col min="1" max="1" width="0.85546875" style="1" customWidth="1"/>
    <col min="2" max="3" width="4.7109375" style="1" customWidth="1"/>
    <col min="4" max="4" width="6.85546875" style="1" customWidth="1"/>
    <col min="5" max="5" width="0.85546875" style="1" customWidth="1"/>
    <col min="6" max="6" width="3.28515625" style="1" customWidth="1"/>
    <col min="7" max="8" width="6.28515625" style="1" customWidth="1"/>
    <col min="9" max="9" width="7.140625" style="1" customWidth="1"/>
    <col min="10" max="11" width="4.42578125" style="1" customWidth="1"/>
    <col min="12" max="12" width="8.42578125" style="1" customWidth="1"/>
    <col min="13" max="13" width="10.28515625" style="1" customWidth="1"/>
    <col min="14" max="14" width="5.140625" style="1" customWidth="1"/>
    <col min="15" max="15" width="5.7109375" style="1" customWidth="1"/>
    <col min="16" max="16" width="8" style="1" customWidth="1"/>
    <col min="17" max="18" width="5.42578125" style="1" customWidth="1"/>
    <col min="19" max="19" width="5.140625" style="1" customWidth="1"/>
    <col min="20" max="21" width="6.140625" style="1" customWidth="1"/>
    <col min="22" max="23" width="5.42578125" style="1" customWidth="1"/>
    <col min="24" max="24" width="4.28515625" style="1" customWidth="1"/>
    <col min="25" max="16384" width="9" style="1"/>
  </cols>
  <sheetData>
    <row r="1" spans="1:24">
      <c r="X1" s="2" t="s">
        <v>51</v>
      </c>
    </row>
    <row r="2" spans="1:24" ht="21" customHeight="1">
      <c r="X2" s="2"/>
    </row>
    <row r="3" spans="1:24" ht="21" customHeight="1">
      <c r="P3" s="31" t="s">
        <v>340</v>
      </c>
      <c r="Q3" s="31"/>
      <c r="R3" s="31">
        <v>317</v>
      </c>
      <c r="S3" s="31"/>
      <c r="T3" s="492"/>
      <c r="U3" s="492"/>
      <c r="V3" s="492"/>
      <c r="W3" s="492"/>
      <c r="X3" s="492"/>
    </row>
    <row r="4" spans="1:24" ht="21" customHeight="1"/>
    <row r="5" spans="1:24" ht="21" customHeight="1">
      <c r="A5" s="493" t="s">
        <v>1</v>
      </c>
      <c r="B5" s="493"/>
      <c r="C5" s="493"/>
      <c r="D5" s="493"/>
      <c r="E5" s="493"/>
      <c r="F5" s="493"/>
      <c r="G5" s="493"/>
      <c r="H5" s="493"/>
      <c r="I5" s="493"/>
      <c r="J5" s="493"/>
      <c r="K5" s="493"/>
      <c r="L5" s="493"/>
      <c r="M5" s="493"/>
      <c r="N5" s="493"/>
      <c r="O5" s="493"/>
      <c r="P5" s="493"/>
      <c r="Q5" s="493"/>
      <c r="R5" s="493"/>
      <c r="S5" s="493"/>
      <c r="T5" s="493"/>
      <c r="U5" s="493"/>
      <c r="V5" s="493"/>
      <c r="W5" s="493"/>
      <c r="X5" s="493"/>
    </row>
    <row r="6" spans="1:24" ht="21" customHeight="1">
      <c r="A6" s="3"/>
      <c r="B6" s="3"/>
      <c r="C6" s="3"/>
      <c r="D6" s="3"/>
      <c r="E6" s="3"/>
      <c r="F6" s="4"/>
      <c r="G6" s="4"/>
      <c r="H6" s="4"/>
      <c r="I6" s="4"/>
      <c r="J6" s="4"/>
      <c r="K6" s="4"/>
      <c r="L6" s="4"/>
      <c r="M6" s="4"/>
      <c r="N6" s="4"/>
      <c r="O6" s="4"/>
      <c r="P6" s="4"/>
      <c r="Q6" s="4"/>
      <c r="R6" s="4"/>
      <c r="S6" s="4"/>
      <c r="T6" s="4"/>
      <c r="U6" s="4"/>
      <c r="V6" s="4"/>
      <c r="W6" s="4"/>
      <c r="X6" s="4"/>
    </row>
    <row r="7" spans="1:24" ht="32.25" customHeight="1">
      <c r="A7" s="5"/>
      <c r="B7" s="491" t="s">
        <v>2</v>
      </c>
      <c r="C7" s="491"/>
      <c r="D7" s="491"/>
      <c r="E7" s="6"/>
      <c r="F7" s="494"/>
      <c r="G7" s="495"/>
      <c r="H7" s="495"/>
      <c r="I7" s="495"/>
      <c r="J7" s="495"/>
      <c r="K7" s="495"/>
      <c r="L7" s="495"/>
      <c r="M7" s="495"/>
      <c r="N7" s="495"/>
      <c r="O7" s="495"/>
      <c r="P7" s="495"/>
      <c r="Q7" s="495"/>
      <c r="R7" s="495"/>
      <c r="S7" s="495"/>
      <c r="T7" s="495"/>
      <c r="U7" s="495"/>
      <c r="V7" s="495"/>
      <c r="W7" s="495"/>
      <c r="X7" s="496"/>
    </row>
    <row r="8" spans="1:24" ht="40.5" customHeight="1">
      <c r="A8" s="5"/>
      <c r="B8" s="491" t="s">
        <v>3</v>
      </c>
      <c r="C8" s="491"/>
      <c r="D8" s="491"/>
      <c r="E8" s="6"/>
      <c r="F8" s="25" t="s">
        <v>4</v>
      </c>
      <c r="G8" s="497" t="s">
        <v>342</v>
      </c>
      <c r="H8" s="498"/>
      <c r="I8" s="498"/>
      <c r="J8" s="498"/>
      <c r="K8" s="498"/>
      <c r="L8" s="498"/>
      <c r="M8" s="498"/>
      <c r="N8" s="498"/>
      <c r="O8" s="498"/>
      <c r="P8" s="498"/>
      <c r="Q8" s="498"/>
      <c r="R8" s="498"/>
      <c r="S8" s="498"/>
      <c r="T8" s="498"/>
      <c r="U8" s="498"/>
      <c r="V8" s="498"/>
      <c r="W8" s="498"/>
      <c r="X8" s="499"/>
    </row>
    <row r="9" spans="1:24" ht="24" customHeight="1">
      <c r="A9" s="5"/>
      <c r="B9" s="491" t="s">
        <v>5</v>
      </c>
      <c r="C9" s="491"/>
      <c r="D9" s="491"/>
      <c r="E9" s="6"/>
      <c r="F9" s="7"/>
      <c r="G9" s="500">
        <f>T23</f>
        <v>8415000</v>
      </c>
      <c r="H9" s="500"/>
      <c r="I9" s="500"/>
      <c r="J9" s="500"/>
      <c r="K9" s="500"/>
      <c r="L9" s="500"/>
      <c r="M9" s="501" t="s">
        <v>12</v>
      </c>
      <c r="N9" s="501"/>
      <c r="O9" s="501"/>
      <c r="P9" s="1" t="s">
        <v>13</v>
      </c>
      <c r="Q9" s="502" t="s">
        <v>14</v>
      </c>
      <c r="R9" s="502"/>
      <c r="S9" s="502">
        <f>T22</f>
        <v>11000</v>
      </c>
      <c r="T9" s="502"/>
      <c r="U9" s="502"/>
      <c r="V9" s="30" t="s">
        <v>15</v>
      </c>
      <c r="W9" s="8"/>
      <c r="X9" s="9"/>
    </row>
    <row r="10" spans="1:24" ht="24" customHeight="1">
      <c r="A10" s="5"/>
      <c r="B10" s="491" t="s">
        <v>345</v>
      </c>
      <c r="C10" s="491"/>
      <c r="D10" s="491"/>
      <c r="E10" s="6"/>
      <c r="F10" s="494" t="s">
        <v>343</v>
      </c>
      <c r="G10" s="495"/>
      <c r="H10" s="495"/>
      <c r="I10" s="495"/>
      <c r="J10" s="495"/>
      <c r="K10" s="495"/>
      <c r="L10" s="495"/>
      <c r="M10" s="54"/>
      <c r="N10" s="54"/>
      <c r="O10" s="54"/>
      <c r="Q10" s="55"/>
      <c r="R10" s="55"/>
      <c r="S10" s="55"/>
      <c r="T10" s="55"/>
      <c r="U10" s="55"/>
      <c r="V10" s="30"/>
      <c r="W10" s="8"/>
      <c r="X10" s="9"/>
    </row>
    <row r="11" spans="1:24" ht="24" customHeight="1">
      <c r="A11" s="5"/>
      <c r="B11" s="491" t="s">
        <v>6</v>
      </c>
      <c r="C11" s="491"/>
      <c r="D11" s="491"/>
      <c r="E11" s="6"/>
      <c r="F11" s="556" t="s">
        <v>330</v>
      </c>
      <c r="G11" s="557"/>
      <c r="H11" s="557"/>
      <c r="I11" s="557"/>
      <c r="J11" s="557"/>
      <c r="K11" s="557"/>
      <c r="L11" s="557"/>
      <c r="M11" s="557"/>
      <c r="N11" s="557"/>
      <c r="O11" s="557"/>
      <c r="P11" s="557"/>
      <c r="Q11" s="557"/>
      <c r="R11" s="557"/>
      <c r="S11" s="557"/>
      <c r="T11" s="557"/>
      <c r="U11" s="557"/>
      <c r="V11" s="557"/>
      <c r="W11" s="557"/>
      <c r="X11" s="558"/>
    </row>
    <row r="12" spans="1:24" ht="24" customHeight="1">
      <c r="A12" s="5"/>
      <c r="B12" s="491" t="s">
        <v>7</v>
      </c>
      <c r="C12" s="491"/>
      <c r="D12" s="491"/>
      <c r="E12" s="6"/>
      <c r="F12" s="503" t="s">
        <v>324</v>
      </c>
      <c r="G12" s="495"/>
      <c r="H12" s="495"/>
      <c r="I12" s="495"/>
      <c r="J12" s="495"/>
      <c r="K12" s="495"/>
      <c r="L12" s="495"/>
      <c r="M12" s="495"/>
      <c r="N12" s="495"/>
      <c r="O12" s="495"/>
      <c r="P12" s="495"/>
      <c r="Q12" s="495"/>
      <c r="R12" s="495"/>
      <c r="S12" s="495"/>
      <c r="T12" s="495"/>
      <c r="U12" s="495"/>
      <c r="V12" s="495"/>
      <c r="W12" s="495"/>
      <c r="X12" s="496"/>
    </row>
    <row r="13" spans="1:24" ht="24" customHeight="1">
      <c r="A13" s="5"/>
      <c r="B13" s="491" t="s">
        <v>8</v>
      </c>
      <c r="C13" s="491"/>
      <c r="D13" s="491"/>
      <c r="E13" s="6"/>
      <c r="F13" s="503"/>
      <c r="G13" s="495"/>
      <c r="H13" s="495"/>
      <c r="I13" s="495"/>
      <c r="J13" s="495"/>
      <c r="K13" s="495"/>
      <c r="L13" s="495"/>
      <c r="M13" s="495"/>
      <c r="N13" s="495"/>
      <c r="O13" s="495"/>
      <c r="P13" s="495"/>
      <c r="Q13" s="495"/>
      <c r="R13" s="495"/>
      <c r="S13" s="495"/>
      <c r="T13" s="495"/>
      <c r="U13" s="495"/>
      <c r="V13" s="495"/>
      <c r="W13" s="495"/>
      <c r="X13" s="496"/>
    </row>
    <row r="14" spans="1:24" ht="24" customHeight="1">
      <c r="A14" s="5"/>
      <c r="B14" s="491" t="s">
        <v>0</v>
      </c>
      <c r="C14" s="491"/>
      <c r="D14" s="491"/>
      <c r="E14" s="6"/>
      <c r="F14" s="504"/>
      <c r="G14" s="501"/>
      <c r="H14" s="501"/>
      <c r="I14" s="501"/>
      <c r="J14" s="501"/>
      <c r="K14" s="501"/>
      <c r="L14" s="501"/>
      <c r="M14" s="501"/>
      <c r="N14" s="501"/>
      <c r="O14" s="501"/>
      <c r="P14" s="501"/>
      <c r="Q14" s="501"/>
      <c r="R14" s="501"/>
      <c r="S14" s="501"/>
      <c r="T14" s="501"/>
      <c r="U14" s="501"/>
      <c r="V14" s="501"/>
      <c r="W14" s="501"/>
      <c r="X14" s="505"/>
    </row>
    <row r="15" spans="1:24" ht="24" customHeight="1">
      <c r="A15" s="10"/>
      <c r="B15" s="491" t="s">
        <v>16</v>
      </c>
      <c r="C15" s="491"/>
      <c r="D15" s="491"/>
      <c r="E15" s="11"/>
      <c r="F15" s="494" t="s">
        <v>344</v>
      </c>
      <c r="G15" s="495"/>
      <c r="H15" s="495"/>
      <c r="I15" s="495"/>
      <c r="J15" s="495"/>
      <c r="K15" s="495"/>
      <c r="L15" s="495"/>
      <c r="M15" s="495"/>
      <c r="N15" s="495"/>
      <c r="O15" s="495"/>
      <c r="P15" s="495"/>
      <c r="Q15" s="495"/>
      <c r="R15" s="495"/>
      <c r="S15" s="495"/>
      <c r="T15" s="495"/>
      <c r="U15" s="495"/>
      <c r="V15" s="495"/>
      <c r="W15" s="495"/>
      <c r="X15" s="496"/>
    </row>
    <row r="16" spans="1:24" ht="24" customHeight="1">
      <c r="A16" s="10"/>
      <c r="B16" s="555" t="s">
        <v>17</v>
      </c>
      <c r="C16" s="555"/>
      <c r="D16" s="555"/>
      <c r="E16" s="11"/>
      <c r="F16" s="518" t="s">
        <v>325</v>
      </c>
      <c r="G16" s="519"/>
      <c r="H16" s="519"/>
      <c r="I16" s="520"/>
      <c r="J16" s="518" t="s">
        <v>326</v>
      </c>
      <c r="K16" s="519"/>
      <c r="L16" s="519"/>
      <c r="M16" s="519"/>
      <c r="N16" s="518" t="s">
        <v>327</v>
      </c>
      <c r="O16" s="519"/>
      <c r="P16" s="519"/>
      <c r="Q16" s="519"/>
      <c r="R16" s="519"/>
      <c r="S16" s="520"/>
      <c r="T16" s="518" t="s">
        <v>328</v>
      </c>
      <c r="U16" s="519"/>
      <c r="V16" s="519"/>
      <c r="W16" s="519"/>
      <c r="X16" s="520"/>
    </row>
    <row r="17" spans="1:24" ht="24" customHeight="1">
      <c r="A17" s="12"/>
      <c r="B17" s="541"/>
      <c r="C17" s="541"/>
      <c r="D17" s="541"/>
      <c r="E17" s="13"/>
      <c r="F17" s="521" t="s">
        <v>18</v>
      </c>
      <c r="G17" s="522"/>
      <c r="H17" s="522"/>
      <c r="I17" s="522"/>
      <c r="J17" s="522"/>
      <c r="K17" s="522"/>
      <c r="L17" s="523"/>
      <c r="M17" s="521">
        <v>1</v>
      </c>
      <c r="N17" s="523"/>
      <c r="O17" s="14" t="s">
        <v>19</v>
      </c>
      <c r="P17" s="524">
        <v>10000</v>
      </c>
      <c r="Q17" s="525"/>
      <c r="R17" s="526"/>
      <c r="S17" s="527"/>
      <c r="T17" s="521">
        <v>10000</v>
      </c>
      <c r="U17" s="522"/>
      <c r="V17" s="522"/>
      <c r="W17" s="522"/>
      <c r="X17" s="15"/>
    </row>
    <row r="18" spans="1:24" ht="24" customHeight="1">
      <c r="A18" s="12"/>
      <c r="B18" s="541"/>
      <c r="C18" s="541"/>
      <c r="D18" s="541"/>
      <c r="E18" s="13"/>
      <c r="F18" s="506" t="s">
        <v>303</v>
      </c>
      <c r="G18" s="507"/>
      <c r="H18" s="507"/>
      <c r="I18" s="507"/>
      <c r="J18" s="507"/>
      <c r="K18" s="507"/>
      <c r="L18" s="508"/>
      <c r="M18" s="509">
        <v>0</v>
      </c>
      <c r="N18" s="510"/>
      <c r="O18" s="16" t="s">
        <v>20</v>
      </c>
      <c r="P18" s="511">
        <v>0</v>
      </c>
      <c r="Q18" s="511"/>
      <c r="R18" s="511"/>
      <c r="S18" s="511"/>
      <c r="T18" s="512">
        <v>0</v>
      </c>
      <c r="U18" s="513"/>
      <c r="V18" s="513"/>
      <c r="W18" s="513"/>
      <c r="X18" s="514"/>
    </row>
    <row r="19" spans="1:24" ht="24" customHeight="1">
      <c r="A19" s="12"/>
      <c r="B19" s="541"/>
      <c r="C19" s="541"/>
      <c r="D19" s="541"/>
      <c r="E19" s="13"/>
      <c r="F19" s="515"/>
      <c r="G19" s="516"/>
      <c r="H19" s="516"/>
      <c r="I19" s="516"/>
      <c r="J19" s="516"/>
      <c r="K19" s="516"/>
      <c r="L19" s="517"/>
      <c r="M19" s="509">
        <v>0</v>
      </c>
      <c r="N19" s="510"/>
      <c r="O19" s="17"/>
      <c r="P19" s="561">
        <v>0</v>
      </c>
      <c r="Q19" s="561"/>
      <c r="R19" s="561"/>
      <c r="S19" s="561"/>
      <c r="T19" s="531">
        <v>0</v>
      </c>
      <c r="U19" s="532"/>
      <c r="V19" s="532"/>
      <c r="W19" s="532"/>
      <c r="X19" s="533"/>
    </row>
    <row r="20" spans="1:24" ht="24" customHeight="1">
      <c r="A20" s="12"/>
      <c r="B20" s="541"/>
      <c r="C20" s="541"/>
      <c r="D20" s="541"/>
      <c r="E20" s="13"/>
      <c r="F20" s="515"/>
      <c r="G20" s="516"/>
      <c r="H20" s="516"/>
      <c r="I20" s="516"/>
      <c r="J20" s="516"/>
      <c r="K20" s="516"/>
      <c r="L20" s="517"/>
      <c r="M20" s="559">
        <v>0</v>
      </c>
      <c r="N20" s="560"/>
      <c r="O20" s="17"/>
      <c r="P20" s="561">
        <v>0</v>
      </c>
      <c r="Q20" s="561"/>
      <c r="R20" s="561"/>
      <c r="S20" s="561"/>
      <c r="T20" s="531">
        <v>10000</v>
      </c>
      <c r="U20" s="532"/>
      <c r="V20" s="532"/>
      <c r="W20" s="532"/>
      <c r="X20" s="533"/>
    </row>
    <row r="21" spans="1:24" ht="24" customHeight="1">
      <c r="A21" s="12"/>
      <c r="B21" s="541"/>
      <c r="C21" s="541"/>
      <c r="D21" s="541"/>
      <c r="E21" s="13"/>
      <c r="F21" s="515" t="s">
        <v>21</v>
      </c>
      <c r="G21" s="516"/>
      <c r="H21" s="516"/>
      <c r="I21" s="516"/>
      <c r="J21" s="516"/>
      <c r="K21" s="516"/>
      <c r="L21" s="517"/>
      <c r="M21" s="530"/>
      <c r="N21" s="517"/>
      <c r="O21" s="18"/>
      <c r="P21" s="530"/>
      <c r="Q21" s="516"/>
      <c r="R21" s="516"/>
      <c r="S21" s="517"/>
      <c r="T21" s="531">
        <v>1000</v>
      </c>
      <c r="U21" s="532"/>
      <c r="V21" s="532"/>
      <c r="W21" s="532"/>
      <c r="X21" s="533"/>
    </row>
    <row r="22" spans="1:24" ht="24" customHeight="1">
      <c r="A22" s="12"/>
      <c r="B22" s="541"/>
      <c r="C22" s="541"/>
      <c r="D22" s="541"/>
      <c r="E22" s="13"/>
      <c r="F22" s="515" t="s">
        <v>22</v>
      </c>
      <c r="G22" s="516"/>
      <c r="H22" s="516"/>
      <c r="I22" s="516"/>
      <c r="J22" s="516"/>
      <c r="K22" s="516"/>
      <c r="L22" s="517"/>
      <c r="M22" s="530"/>
      <c r="N22" s="517"/>
      <c r="O22" s="18"/>
      <c r="P22" s="530"/>
      <c r="Q22" s="516"/>
      <c r="R22" s="516"/>
      <c r="S22" s="517"/>
      <c r="T22" s="531">
        <v>11000</v>
      </c>
      <c r="U22" s="532"/>
      <c r="V22" s="532"/>
      <c r="W22" s="532"/>
      <c r="X22" s="533"/>
    </row>
    <row r="23" spans="1:24" ht="24" customHeight="1">
      <c r="A23" s="19"/>
      <c r="B23" s="528"/>
      <c r="C23" s="528"/>
      <c r="D23" s="528"/>
      <c r="E23" s="9"/>
      <c r="F23" s="534"/>
      <c r="G23" s="535"/>
      <c r="H23" s="535"/>
      <c r="I23" s="535"/>
      <c r="J23" s="535"/>
      <c r="K23" s="535"/>
      <c r="L23" s="536"/>
      <c r="M23" s="537"/>
      <c r="N23" s="536"/>
      <c r="O23" s="20"/>
      <c r="P23" s="537"/>
      <c r="Q23" s="535"/>
      <c r="R23" s="535"/>
      <c r="S23" s="536"/>
      <c r="T23" s="538">
        <v>8415000</v>
      </c>
      <c r="U23" s="539"/>
      <c r="V23" s="539"/>
      <c r="W23" s="539"/>
      <c r="X23" s="540"/>
    </row>
    <row r="24" spans="1:24" ht="24" customHeight="1">
      <c r="A24" s="12"/>
      <c r="B24" s="543" t="s">
        <v>25</v>
      </c>
      <c r="C24" s="543"/>
      <c r="D24" s="543"/>
      <c r="E24" s="13"/>
      <c r="F24" s="546"/>
      <c r="G24" s="547"/>
      <c r="H24" s="547"/>
      <c r="I24" s="547"/>
      <c r="J24" s="547"/>
      <c r="K24" s="547"/>
      <c r="L24" s="547"/>
      <c r="M24" s="547"/>
      <c r="N24" s="547"/>
      <c r="O24" s="547"/>
      <c r="P24" s="547"/>
      <c r="Q24" s="547"/>
      <c r="R24" s="547"/>
      <c r="S24" s="547"/>
      <c r="T24" s="547"/>
      <c r="U24" s="547"/>
      <c r="V24" s="547"/>
      <c r="W24" s="547"/>
      <c r="X24" s="548"/>
    </row>
    <row r="25" spans="1:24" ht="24" customHeight="1">
      <c r="A25" s="12"/>
      <c r="B25" s="544"/>
      <c r="C25" s="544"/>
      <c r="D25" s="544"/>
      <c r="E25" s="13"/>
      <c r="F25" s="549"/>
      <c r="G25" s="550"/>
      <c r="H25" s="550"/>
      <c r="I25" s="550"/>
      <c r="J25" s="550"/>
      <c r="K25" s="550"/>
      <c r="L25" s="550"/>
      <c r="M25" s="550"/>
      <c r="N25" s="550"/>
      <c r="O25" s="550"/>
      <c r="P25" s="550"/>
      <c r="Q25" s="550"/>
      <c r="R25" s="550"/>
      <c r="S25" s="550"/>
      <c r="T25" s="550"/>
      <c r="U25" s="550"/>
      <c r="V25" s="550"/>
      <c r="W25" s="550"/>
      <c r="X25" s="551"/>
    </row>
    <row r="26" spans="1:24" ht="24" customHeight="1">
      <c r="A26" s="12"/>
      <c r="B26" s="544"/>
      <c r="C26" s="544"/>
      <c r="D26" s="544"/>
      <c r="E26" s="13"/>
      <c r="F26" s="549"/>
      <c r="G26" s="550"/>
      <c r="H26" s="550"/>
      <c r="I26" s="550"/>
      <c r="J26" s="550"/>
      <c r="K26" s="550"/>
      <c r="L26" s="550"/>
      <c r="M26" s="550"/>
      <c r="N26" s="550"/>
      <c r="O26" s="550"/>
      <c r="P26" s="550"/>
      <c r="Q26" s="550"/>
      <c r="R26" s="550"/>
      <c r="S26" s="550"/>
      <c r="T26" s="550"/>
      <c r="U26" s="550"/>
      <c r="V26" s="550"/>
      <c r="W26" s="550"/>
      <c r="X26" s="551"/>
    </row>
    <row r="27" spans="1:24" ht="24" customHeight="1">
      <c r="A27" s="12"/>
      <c r="B27" s="544"/>
      <c r="C27" s="544"/>
      <c r="D27" s="544"/>
      <c r="E27" s="13"/>
      <c r="F27" s="549"/>
      <c r="G27" s="550"/>
      <c r="H27" s="550"/>
      <c r="I27" s="550"/>
      <c r="J27" s="550"/>
      <c r="K27" s="550"/>
      <c r="L27" s="550"/>
      <c r="M27" s="550"/>
      <c r="N27" s="550"/>
      <c r="O27" s="550"/>
      <c r="P27" s="550"/>
      <c r="Q27" s="550"/>
      <c r="R27" s="550"/>
      <c r="S27" s="550"/>
      <c r="T27" s="550"/>
      <c r="U27" s="550"/>
      <c r="V27" s="550"/>
      <c r="W27" s="550"/>
      <c r="X27" s="551"/>
    </row>
    <row r="28" spans="1:24" ht="24" customHeight="1">
      <c r="A28" s="19"/>
      <c r="B28" s="545"/>
      <c r="C28" s="545"/>
      <c r="D28" s="545"/>
      <c r="E28" s="9"/>
      <c r="F28" s="552"/>
      <c r="G28" s="553"/>
      <c r="H28" s="553"/>
      <c r="I28" s="553"/>
      <c r="J28" s="553"/>
      <c r="K28" s="553"/>
      <c r="L28" s="553"/>
      <c r="M28" s="553"/>
      <c r="N28" s="553"/>
      <c r="O28" s="553"/>
      <c r="P28" s="553"/>
      <c r="Q28" s="553"/>
      <c r="R28" s="553"/>
      <c r="S28" s="553"/>
      <c r="T28" s="553"/>
      <c r="U28" s="553"/>
      <c r="V28" s="553"/>
      <c r="W28" s="553"/>
      <c r="X28" s="554"/>
    </row>
    <row r="29" spans="1:24" ht="21" customHeight="1">
      <c r="A29" s="21"/>
      <c r="B29" s="21"/>
      <c r="C29" s="21"/>
      <c r="D29" s="21"/>
      <c r="E29" s="21"/>
      <c r="F29" s="21"/>
      <c r="G29" s="21"/>
      <c r="H29" s="21"/>
      <c r="I29" s="21"/>
      <c r="J29" s="21"/>
      <c r="K29" s="21"/>
      <c r="L29" s="21"/>
      <c r="M29" s="21"/>
      <c r="N29" s="21"/>
      <c r="O29" s="21"/>
      <c r="P29" s="21"/>
      <c r="Q29" s="21"/>
      <c r="R29" s="21"/>
      <c r="S29" s="21"/>
      <c r="T29" s="21"/>
      <c r="U29" s="21"/>
      <c r="V29" s="21"/>
      <c r="W29" s="21"/>
      <c r="X29" s="21"/>
    </row>
    <row r="30" spans="1:24" ht="16.5" customHeight="1">
      <c r="A30" s="21" t="s">
        <v>9</v>
      </c>
      <c r="B30" s="21"/>
      <c r="C30" s="21"/>
      <c r="D30" s="21"/>
      <c r="E30" s="21"/>
      <c r="F30" s="21"/>
      <c r="G30" s="21"/>
      <c r="H30" s="21"/>
      <c r="I30" s="21"/>
      <c r="J30" s="21"/>
      <c r="K30" s="21"/>
      <c r="L30" s="21"/>
      <c r="M30" s="542"/>
      <c r="N30" s="542"/>
      <c r="O30" s="542"/>
      <c r="P30" s="542"/>
      <c r="Q30" s="542"/>
      <c r="R30" s="542"/>
      <c r="S30" s="542"/>
      <c r="T30" s="542"/>
      <c r="U30" s="542"/>
      <c r="V30" s="26"/>
    </row>
    <row r="31" spans="1:24" ht="16.5">
      <c r="A31" s="21"/>
      <c r="B31" s="21" t="s">
        <v>341</v>
      </c>
      <c r="C31" s="21"/>
      <c r="D31" s="21"/>
      <c r="E31" s="21"/>
      <c r="F31" s="21"/>
      <c r="G31" s="21"/>
      <c r="H31" s="21"/>
      <c r="I31" s="21"/>
      <c r="J31" s="21"/>
      <c r="K31" s="21"/>
      <c r="L31" s="21"/>
      <c r="M31" s="21"/>
      <c r="N31" s="21"/>
      <c r="O31" s="21"/>
      <c r="P31" s="21"/>
      <c r="Q31" s="21"/>
      <c r="R31" s="21"/>
      <c r="S31" s="21"/>
      <c r="T31" s="21"/>
      <c r="U31" s="21"/>
      <c r="V31" s="21"/>
      <c r="W31" s="21"/>
      <c r="X31" s="21"/>
    </row>
    <row r="32" spans="1:24" ht="19.5">
      <c r="A32" s="21"/>
      <c r="B32" s="541" t="s">
        <v>329</v>
      </c>
      <c r="C32" s="541"/>
      <c r="D32" s="541"/>
      <c r="E32" s="541"/>
      <c r="F32" s="541"/>
      <c r="G32" s="541"/>
      <c r="H32" s="541"/>
      <c r="I32" s="541"/>
      <c r="J32" s="541"/>
      <c r="K32" s="541"/>
      <c r="L32" s="21"/>
      <c r="M32" s="22"/>
      <c r="N32" s="27"/>
      <c r="O32" s="28"/>
      <c r="P32" s="27"/>
      <c r="Q32" s="28"/>
      <c r="R32" s="28"/>
      <c r="S32" s="27"/>
      <c r="T32" s="28"/>
      <c r="U32" s="27"/>
      <c r="V32" s="27"/>
    </row>
    <row r="33" spans="1:24" ht="16.5">
      <c r="A33" s="21"/>
      <c r="B33" s="27"/>
      <c r="C33" s="27"/>
      <c r="D33" s="27"/>
      <c r="E33" s="21"/>
      <c r="F33" s="21"/>
      <c r="G33" s="21"/>
      <c r="H33" s="27"/>
      <c r="I33" s="21"/>
      <c r="J33" s="27"/>
      <c r="K33" s="27"/>
      <c r="L33" s="21"/>
      <c r="M33" s="21"/>
      <c r="N33" s="21"/>
      <c r="O33" s="21"/>
      <c r="P33" s="21"/>
      <c r="Q33" s="21"/>
      <c r="R33" s="21"/>
      <c r="S33" s="21"/>
      <c r="T33" s="21"/>
      <c r="U33" s="21"/>
      <c r="V33" s="21"/>
      <c r="W33" s="21"/>
      <c r="X33" s="21"/>
    </row>
    <row r="34" spans="1:24" ht="16.5">
      <c r="A34" s="21"/>
      <c r="B34" s="21"/>
      <c r="C34" s="21"/>
      <c r="D34" s="21"/>
      <c r="E34" s="21"/>
      <c r="F34" s="21"/>
      <c r="G34" s="21"/>
      <c r="H34" s="21"/>
      <c r="I34" s="21"/>
      <c r="J34" s="21"/>
      <c r="K34" s="21"/>
      <c r="L34" s="541" t="s">
        <v>10</v>
      </c>
      <c r="M34" s="541"/>
      <c r="N34" s="21"/>
      <c r="O34" s="21"/>
      <c r="P34" s="21"/>
      <c r="Q34" s="21" t="s">
        <v>338</v>
      </c>
      <c r="R34" s="21"/>
      <c r="S34" s="21"/>
      <c r="T34" s="21"/>
      <c r="U34" s="21"/>
      <c r="V34" s="21"/>
      <c r="W34" s="21"/>
      <c r="X34" s="21"/>
    </row>
    <row r="35" spans="1:24" ht="21" customHeight="1">
      <c r="A35" s="21"/>
      <c r="B35" s="21"/>
      <c r="C35" s="21"/>
      <c r="D35" s="21"/>
      <c r="E35" s="21"/>
      <c r="F35" s="21"/>
      <c r="G35" s="21"/>
      <c r="H35" s="21"/>
      <c r="I35" s="21"/>
      <c r="J35" s="21"/>
      <c r="K35" s="21"/>
      <c r="L35" s="528" t="s">
        <v>26</v>
      </c>
      <c r="M35" s="528"/>
      <c r="N35" s="23"/>
      <c r="O35" s="23" t="s">
        <v>11</v>
      </c>
      <c r="P35" s="29"/>
      <c r="Q35" s="529" t="s">
        <v>132</v>
      </c>
      <c r="R35" s="529"/>
      <c r="S35" s="529"/>
      <c r="T35" s="529"/>
      <c r="U35" s="529"/>
      <c r="V35" s="529"/>
      <c r="W35" s="529"/>
      <c r="X35" s="529"/>
    </row>
    <row r="36" spans="1:24" ht="21" customHeight="1">
      <c r="A36" s="21"/>
      <c r="B36" s="21"/>
      <c r="C36" s="21"/>
      <c r="D36" s="21"/>
      <c r="E36" s="21"/>
      <c r="F36" s="21"/>
      <c r="G36" s="21"/>
      <c r="H36" s="21"/>
      <c r="I36" s="21"/>
      <c r="J36" s="21"/>
      <c r="K36" s="21"/>
      <c r="L36" s="21"/>
      <c r="M36" s="21"/>
      <c r="N36" s="21"/>
      <c r="O36" s="21"/>
      <c r="P36" s="21"/>
      <c r="Q36" s="21"/>
      <c r="R36" s="21"/>
      <c r="S36" s="21"/>
      <c r="T36" s="21"/>
      <c r="U36" s="21"/>
      <c r="V36" s="21"/>
      <c r="W36" s="21"/>
      <c r="X36" s="24"/>
    </row>
    <row r="37" spans="1:24" ht="16.5">
      <c r="A37" s="21"/>
      <c r="B37" s="21"/>
      <c r="C37" s="21"/>
      <c r="D37" s="21"/>
      <c r="E37" s="21"/>
      <c r="F37" s="21"/>
      <c r="G37" s="21"/>
      <c r="H37" s="21"/>
      <c r="I37" s="21"/>
      <c r="J37" s="21"/>
      <c r="K37" s="21"/>
      <c r="L37" s="541"/>
      <c r="M37" s="541"/>
      <c r="N37" s="541"/>
      <c r="O37" s="541"/>
      <c r="P37" s="541"/>
      <c r="Q37" s="541"/>
      <c r="R37" s="541"/>
      <c r="S37" s="541"/>
      <c r="T37" s="541"/>
      <c r="U37" s="541"/>
      <c r="V37" s="541"/>
      <c r="W37" s="541"/>
      <c r="X37" s="541"/>
    </row>
    <row r="38" spans="1:24" ht="16.5">
      <c r="A38" s="21"/>
      <c r="B38" s="21"/>
      <c r="C38" s="21"/>
      <c r="D38" s="21"/>
      <c r="E38" s="21"/>
      <c r="F38" s="21"/>
      <c r="G38" s="21"/>
      <c r="H38" s="21"/>
      <c r="I38" s="21"/>
      <c r="J38" s="21"/>
      <c r="K38" s="21"/>
      <c r="L38" s="27"/>
      <c r="M38" s="27"/>
      <c r="N38" s="27"/>
      <c r="O38" s="27"/>
      <c r="P38" s="27"/>
      <c r="Q38" s="27"/>
      <c r="R38" s="27"/>
      <c r="S38" s="27"/>
      <c r="T38" s="27"/>
      <c r="U38" s="27"/>
      <c r="V38" s="27"/>
      <c r="W38" s="27"/>
      <c r="X38" s="27"/>
    </row>
    <row r="39" spans="1:24" ht="16.5">
      <c r="A39" s="21"/>
      <c r="B39" s="21"/>
      <c r="C39" s="21"/>
      <c r="D39" s="21"/>
      <c r="E39" s="21"/>
      <c r="F39" s="21"/>
      <c r="G39" s="21"/>
      <c r="H39" s="21"/>
      <c r="I39" s="21"/>
      <c r="J39" s="21"/>
      <c r="K39" s="21"/>
      <c r="L39" s="27"/>
      <c r="M39" s="27"/>
      <c r="N39" s="27"/>
      <c r="O39" s="27"/>
      <c r="P39" s="27"/>
      <c r="Q39" s="27"/>
      <c r="R39" s="27"/>
      <c r="S39" s="27"/>
      <c r="T39" s="27"/>
      <c r="U39" s="27"/>
      <c r="V39" s="27"/>
      <c r="W39" s="27"/>
      <c r="X39" s="27"/>
    </row>
    <row r="40" spans="1:24" ht="16.5">
      <c r="A40" s="21"/>
      <c r="B40" s="21"/>
      <c r="C40" s="21"/>
      <c r="D40" s="21"/>
      <c r="E40" s="21"/>
      <c r="F40" s="21"/>
      <c r="G40" s="21"/>
      <c r="H40" s="21"/>
      <c r="I40" s="21"/>
      <c r="J40" s="21"/>
      <c r="K40" s="21"/>
      <c r="L40" s="27"/>
      <c r="M40" s="27"/>
      <c r="N40" s="27"/>
      <c r="O40" s="27"/>
      <c r="P40" s="27"/>
      <c r="Q40" s="27"/>
      <c r="R40" s="27"/>
      <c r="S40" s="27"/>
      <c r="T40" s="27"/>
      <c r="U40" s="27"/>
      <c r="V40" s="27"/>
      <c r="W40" s="27"/>
      <c r="X40" s="27"/>
    </row>
    <row r="41" spans="1:24" ht="16.5">
      <c r="A41" s="21"/>
      <c r="B41" s="21"/>
      <c r="C41" s="21"/>
      <c r="D41" s="21"/>
      <c r="E41" s="21"/>
      <c r="F41" s="21"/>
      <c r="G41" s="21"/>
      <c r="H41" s="21"/>
      <c r="I41" s="21"/>
      <c r="J41" s="21"/>
      <c r="K41" s="21"/>
      <c r="L41" s="27"/>
      <c r="M41" s="27"/>
      <c r="N41" s="27"/>
      <c r="O41" s="27"/>
      <c r="P41" s="27"/>
      <c r="Q41" s="27"/>
      <c r="R41" s="27"/>
      <c r="S41" s="27"/>
      <c r="T41" s="27"/>
      <c r="U41" s="27"/>
      <c r="V41" s="27"/>
      <c r="W41" s="27"/>
      <c r="X41" s="27"/>
    </row>
    <row r="42" spans="1:24" ht="16.5">
      <c r="A42" s="21"/>
      <c r="B42" s="21"/>
      <c r="C42" s="21"/>
      <c r="D42" s="21"/>
      <c r="E42" s="21"/>
      <c r="F42" s="21"/>
      <c r="G42" s="21"/>
      <c r="H42" s="21"/>
      <c r="I42" s="21"/>
      <c r="J42" s="21"/>
      <c r="K42" s="21"/>
      <c r="L42" s="27"/>
      <c r="M42" s="27"/>
      <c r="N42" s="27"/>
      <c r="O42" s="27"/>
      <c r="P42" s="27"/>
      <c r="Q42" s="27"/>
      <c r="R42" s="27"/>
      <c r="S42" s="27"/>
      <c r="T42" s="27"/>
      <c r="U42" s="27"/>
      <c r="V42" s="27"/>
      <c r="W42" s="27"/>
      <c r="X42" s="27"/>
    </row>
    <row r="43" spans="1:24" ht="16.5">
      <c r="A43" s="21"/>
      <c r="B43" s="21"/>
      <c r="C43" s="21"/>
      <c r="D43" s="21"/>
      <c r="E43" s="21"/>
      <c r="F43" s="21"/>
      <c r="G43" s="21"/>
      <c r="H43" s="21"/>
      <c r="I43" s="21"/>
      <c r="J43" s="21"/>
      <c r="K43" s="21"/>
      <c r="L43" s="27"/>
      <c r="M43" s="27"/>
      <c r="N43" s="27"/>
      <c r="O43" s="27"/>
      <c r="P43" s="27"/>
      <c r="Q43" s="27"/>
      <c r="R43" s="27"/>
      <c r="S43" s="27"/>
      <c r="T43" s="27"/>
      <c r="U43" s="27"/>
      <c r="V43" s="27"/>
      <c r="W43" s="27"/>
      <c r="X43" s="27"/>
    </row>
    <row r="44" spans="1:24" ht="16.5">
      <c r="A44" s="21"/>
      <c r="B44" s="21"/>
      <c r="C44" s="21"/>
      <c r="D44" s="21"/>
      <c r="E44" s="21"/>
      <c r="F44" s="21"/>
      <c r="G44" s="21"/>
      <c r="H44" s="21"/>
      <c r="I44" s="21"/>
      <c r="J44" s="21"/>
      <c r="K44" s="21"/>
      <c r="L44" s="27"/>
      <c r="M44" s="27"/>
      <c r="N44" s="27"/>
      <c r="O44" s="27"/>
      <c r="P44" s="27"/>
      <c r="Q44" s="27"/>
      <c r="R44" s="27"/>
      <c r="S44" s="27"/>
      <c r="T44" s="27"/>
      <c r="U44" s="27"/>
      <c r="V44" s="27"/>
      <c r="W44" s="27"/>
      <c r="X44" s="27"/>
    </row>
    <row r="45" spans="1:24" ht="16.5">
      <c r="A45" s="21"/>
      <c r="B45" s="21"/>
      <c r="C45" s="21"/>
      <c r="D45" s="21"/>
      <c r="E45" s="21"/>
      <c r="F45" s="21"/>
      <c r="G45" s="21"/>
      <c r="H45" s="21"/>
      <c r="I45" s="21"/>
      <c r="J45" s="21"/>
      <c r="K45" s="21"/>
      <c r="L45" s="27"/>
      <c r="M45" s="27"/>
      <c r="N45" s="27"/>
      <c r="O45" s="27"/>
      <c r="P45" s="27"/>
      <c r="Q45" s="27"/>
      <c r="R45" s="27"/>
      <c r="S45" s="27"/>
      <c r="T45" s="27"/>
      <c r="U45" s="27"/>
      <c r="V45" s="27"/>
      <c r="W45" s="27"/>
      <c r="X45" s="27"/>
    </row>
    <row r="46" spans="1:24" ht="16.5">
      <c r="A46" s="21"/>
      <c r="B46" s="21"/>
      <c r="C46" s="21"/>
      <c r="D46" s="21"/>
      <c r="E46" s="21"/>
      <c r="F46" s="21"/>
      <c r="G46" s="21"/>
      <c r="H46" s="21"/>
      <c r="I46" s="21"/>
      <c r="J46" s="21"/>
      <c r="K46" s="21"/>
      <c r="L46" s="27"/>
      <c r="M46" s="27"/>
      <c r="N46" s="27"/>
      <c r="O46" s="27"/>
      <c r="P46" s="27"/>
      <c r="Q46" s="27"/>
      <c r="R46" s="27"/>
      <c r="S46" s="27"/>
      <c r="T46" s="27"/>
      <c r="U46" s="27"/>
      <c r="V46" s="27"/>
      <c r="W46" s="27"/>
      <c r="X46" s="27"/>
    </row>
    <row r="47" spans="1:24" ht="15.75" customHeight="1">
      <c r="A47" s="21"/>
      <c r="B47" s="21"/>
      <c r="C47" s="21"/>
      <c r="D47" s="21"/>
      <c r="E47" s="21"/>
      <c r="F47" s="21"/>
      <c r="G47" s="21"/>
      <c r="H47" s="21"/>
      <c r="I47" s="21"/>
      <c r="J47" s="21"/>
      <c r="K47" s="21"/>
      <c r="L47" s="562"/>
      <c r="M47" s="562"/>
      <c r="N47" s="562"/>
      <c r="O47" s="562"/>
      <c r="P47" s="562"/>
      <c r="Q47" s="562"/>
      <c r="R47" s="562"/>
      <c r="S47" s="562"/>
      <c r="T47" s="562"/>
      <c r="U47" s="562"/>
      <c r="V47" s="562"/>
      <c r="W47" s="562"/>
      <c r="X47" s="562"/>
    </row>
    <row r="48" spans="1:24" ht="16.5">
      <c r="A48" s="21"/>
      <c r="B48" s="21"/>
      <c r="C48" s="21"/>
      <c r="D48" s="21"/>
      <c r="E48" s="21"/>
      <c r="F48" s="21"/>
      <c r="G48" s="21"/>
      <c r="H48" s="21"/>
      <c r="I48" s="21"/>
      <c r="J48" s="21"/>
      <c r="K48" s="21"/>
      <c r="L48" s="21"/>
      <c r="M48" s="21"/>
      <c r="N48" s="562" t="s">
        <v>23</v>
      </c>
      <c r="O48" s="562"/>
      <c r="P48" s="562"/>
      <c r="Q48" s="563" t="s">
        <v>24</v>
      </c>
      <c r="R48" s="563"/>
      <c r="S48" s="563"/>
      <c r="T48" s="563"/>
      <c r="U48" s="563" t="s">
        <v>24</v>
      </c>
      <c r="V48" s="563"/>
      <c r="W48" s="563"/>
      <c r="X48" s="563"/>
    </row>
    <row r="49" spans="1:24" ht="16.5">
      <c r="A49" s="21"/>
      <c r="B49" s="21"/>
      <c r="C49" s="21"/>
      <c r="D49" s="21"/>
      <c r="E49" s="21"/>
      <c r="F49" s="21"/>
      <c r="G49" s="21"/>
      <c r="H49" s="21"/>
      <c r="I49" s="21"/>
      <c r="J49" s="21"/>
      <c r="K49" s="21"/>
      <c r="M49" s="27"/>
      <c r="N49" s="27"/>
      <c r="O49" s="21"/>
      <c r="P49" s="21"/>
      <c r="Q49" s="21"/>
      <c r="R49" s="21"/>
      <c r="S49" s="21"/>
      <c r="T49" s="21"/>
      <c r="U49" s="21"/>
      <c r="V49" s="21"/>
      <c r="W49" s="21"/>
      <c r="X49" s="21"/>
    </row>
    <row r="50" spans="1:24" ht="16.5">
      <c r="A50" s="21"/>
      <c r="B50" s="21"/>
      <c r="C50" s="21"/>
      <c r="D50" s="21"/>
      <c r="E50" s="21"/>
      <c r="F50" s="21"/>
      <c r="G50" s="21"/>
      <c r="H50" s="21"/>
      <c r="I50" s="21"/>
      <c r="J50" s="21"/>
      <c r="K50" s="21"/>
      <c r="M50" s="21"/>
      <c r="N50" s="21"/>
      <c r="O50" s="21"/>
      <c r="P50" s="21"/>
      <c r="Q50" s="21"/>
      <c r="R50" s="21"/>
      <c r="S50" s="21"/>
      <c r="T50" s="21"/>
      <c r="U50" s="21"/>
      <c r="V50" s="21"/>
      <c r="W50" s="21"/>
      <c r="X50" s="21"/>
    </row>
  </sheetData>
  <mergeCells count="74">
    <mergeCell ref="N48:P48"/>
    <mergeCell ref="Q48:T48"/>
    <mergeCell ref="U48:X48"/>
    <mergeCell ref="L37:M37"/>
    <mergeCell ref="N37:P37"/>
    <mergeCell ref="Q37:T37"/>
    <mergeCell ref="U37:X37"/>
    <mergeCell ref="L47:M47"/>
    <mergeCell ref="N47:P47"/>
    <mergeCell ref="Q47:T47"/>
    <mergeCell ref="U47:X47"/>
    <mergeCell ref="F21:L21"/>
    <mergeCell ref="M21:N21"/>
    <mergeCell ref="P21:S21"/>
    <mergeCell ref="T21:X21"/>
    <mergeCell ref="B10:D10"/>
    <mergeCell ref="F10:L10"/>
    <mergeCell ref="F11:X11"/>
    <mergeCell ref="M20:N20"/>
    <mergeCell ref="P20:S20"/>
    <mergeCell ref="T20:X20"/>
    <mergeCell ref="F19:L19"/>
    <mergeCell ref="M19:N19"/>
    <mergeCell ref="P19:S19"/>
    <mergeCell ref="T19:X19"/>
    <mergeCell ref="B15:D15"/>
    <mergeCell ref="F15:X15"/>
    <mergeCell ref="L35:M35"/>
    <mergeCell ref="Q35:X35"/>
    <mergeCell ref="F22:L22"/>
    <mergeCell ref="M22:N22"/>
    <mergeCell ref="P22:S22"/>
    <mergeCell ref="T22:X22"/>
    <mergeCell ref="F23:L23"/>
    <mergeCell ref="M23:N23"/>
    <mergeCell ref="P23:S23"/>
    <mergeCell ref="T23:X23"/>
    <mergeCell ref="L34:M34"/>
    <mergeCell ref="M30:U30"/>
    <mergeCell ref="B32:K32"/>
    <mergeCell ref="B24:D28"/>
    <mergeCell ref="F24:X28"/>
    <mergeCell ref="B16:D23"/>
    <mergeCell ref="F16:I16"/>
    <mergeCell ref="J16:M16"/>
    <mergeCell ref="N16:S16"/>
    <mergeCell ref="T16:X16"/>
    <mergeCell ref="F17:L17"/>
    <mergeCell ref="M17:N17"/>
    <mergeCell ref="P17:S17"/>
    <mergeCell ref="T17:W17"/>
    <mergeCell ref="F18:L18"/>
    <mergeCell ref="M18:N18"/>
    <mergeCell ref="P18:S18"/>
    <mergeCell ref="T18:X18"/>
    <mergeCell ref="F20:L20"/>
    <mergeCell ref="B12:D12"/>
    <mergeCell ref="F12:X12"/>
    <mergeCell ref="B13:D13"/>
    <mergeCell ref="F13:X13"/>
    <mergeCell ref="B14:D14"/>
    <mergeCell ref="F14:X14"/>
    <mergeCell ref="B11:D11"/>
    <mergeCell ref="T3:X3"/>
    <mergeCell ref="A5:X5"/>
    <mergeCell ref="B7:D7"/>
    <mergeCell ref="F7:X7"/>
    <mergeCell ref="B8:D8"/>
    <mergeCell ref="G8:X8"/>
    <mergeCell ref="B9:D9"/>
    <mergeCell ref="G9:L9"/>
    <mergeCell ref="M9:O9"/>
    <mergeCell ref="Q9:R9"/>
    <mergeCell ref="S9:U9"/>
  </mergeCells>
  <phoneticPr fontId="5"/>
  <pageMargins left="0.39370078740157483" right="0.39370078740157483" top="1.1811023622047245" bottom="0.39370078740157483" header="0.51181102362204722" footer="0.51181102362204722"/>
  <pageSetup paperSize="9" scale="79" orientation="portrait" blackAndWhite="1"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9</vt:i4>
      </vt:variant>
    </vt:vector>
  </HeadingPairs>
  <TitlesOfParts>
    <vt:vector size="16" baseType="lpstr">
      <vt:lpstr>入力フォーム</vt:lpstr>
      <vt:lpstr>工事番号一覧</vt:lpstr>
      <vt:lpstr>請求書提出依頼書</vt:lpstr>
      <vt:lpstr>請求書提出依頼書【元データ】</vt:lpstr>
      <vt:lpstr>依頼書全社展開</vt:lpstr>
      <vt:lpstr>依頼履歴</vt:lpstr>
      <vt:lpstr>旧請求書提出依頼書</vt:lpstr>
      <vt:lpstr>PDF_工事名称</vt:lpstr>
      <vt:lpstr>PDF_請求宛名</vt:lpstr>
      <vt:lpstr>依頼書全社展開!Print_Area</vt:lpstr>
      <vt:lpstr>旧請求書提出依頼書!Print_Area</vt:lpstr>
      <vt:lpstr>工事番号一覧!Print_Area</vt:lpstr>
      <vt:lpstr>請求書提出依頼書!Print_Area</vt:lpstr>
      <vt:lpstr>請求書提出依頼書【元データ】!Print_Area</vt:lpstr>
      <vt:lpstr>入力フォーム!Print_Area</vt:lpstr>
      <vt:lpstr>工事番号一覧!Print_Area_1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ABINO</dc:creator>
  <cp:lastModifiedBy>西川 絵里</cp:lastModifiedBy>
  <cp:lastPrinted>2026-05-18T02:16:25Z</cp:lastPrinted>
  <dcterms:created xsi:type="dcterms:W3CDTF">2016-09-30T02:05:14Z</dcterms:created>
  <dcterms:modified xsi:type="dcterms:W3CDTF">2026-05-18T05:59:28Z</dcterms:modified>
</cp:coreProperties>
</file>