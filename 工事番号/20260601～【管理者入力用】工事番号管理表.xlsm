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Z:\全社共有\建築事業部\00_現場関連\管理者用\"/>
    </mc:Choice>
  </mc:AlternateContent>
  <xr:revisionPtr revIDLastSave="0" documentId="13_ncr:1_{A42C66D9-C579-4738-99E9-E82F9BDD97CC}" xr6:coauthVersionLast="47" xr6:coauthVersionMax="47" xr10:uidLastSave="{00000000-0000-0000-0000-000000000000}"/>
  <bookViews>
    <workbookView xWindow="12240" yWindow="2475" windowWidth="13980" windowHeight="13380" firstSheet="1" activeTab="3" xr2:uid="{CC8634AA-3131-4C90-BDB1-0454CBB01C97}"/>
  </bookViews>
  <sheets>
    <sheet name="操作" sheetId="12" r:id="rId1"/>
    <sheet name="工事番号一覧" sheetId="8" r:id="rId2"/>
    <sheet name="依頼履歴" sheetId="9" r:id="rId3"/>
    <sheet name="依頼書セル設定" sheetId="18" r:id="rId4"/>
    <sheet name="依頼書セル設定【元データ】-1" sheetId="11" r:id="rId5"/>
    <sheet name="2025.6～個人番号" sheetId="4" r:id="rId6"/>
    <sheet name="2025.6～採番ルール" sheetId="5" r:id="rId7"/>
    <sheet name="管理マスタ" sheetId="6" r:id="rId8"/>
    <sheet name="その他マスタ" sheetId="7" r:id="rId9"/>
    <sheet name="_snap_工事番号一覧" sheetId="13" state="veryHidden" r:id="rId10"/>
    <sheet name="_snap_依頼履歴" sheetId="14" state="veryHidden" r:id="rId11"/>
    <sheet name="_snap_管理マスタ" sheetId="15" state="veryHidden" r:id="rId12"/>
    <sheet name="_snap_その他マスタ" sheetId="16" state="veryHidden" r:id="rId13"/>
    <sheet name="_snap_依頼書セル設定" sheetId="17" state="veryHidden" r:id="rId14"/>
  </sheets>
  <functionGroups builtInGroupCount="19"/>
  <definedNames>
    <definedName name="_xlnm._FilterDatabase" localSheetId="1" hidden="1">工事番号一覧!$A$4:$BE$57</definedName>
    <definedName name="_xlnm.Print_Area" localSheetId="5">'2025.6～個人番号'!$A$1:$K$60</definedName>
    <definedName name="_xlnm.Print_Area" localSheetId="6">'2025.6～採番ルール'!$A$1:$T$10</definedName>
    <definedName name="_xlnm.Print_Area" localSheetId="1">工事番号一覧!$A$1:$X$172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2" i="13" l="1"/>
  <c r="K21" i="13"/>
  <c r="M2" i="13"/>
  <c r="K32" i="8"/>
  <c r="K21" i="8"/>
  <c r="M2" i="8"/>
</calcChain>
</file>

<file path=xl/sharedStrings.xml><?xml version="1.0" encoding="utf-8"?>
<sst xmlns="http://schemas.openxmlformats.org/spreadsheetml/2006/main" count="4936" uniqueCount="1154">
  <si>
    <t>年度</t>
    <rPh sb="0" eb="2">
      <t>ネンド</t>
    </rPh>
    <phoneticPr fontId="7"/>
  </si>
  <si>
    <t>NO</t>
    <phoneticPr fontId="3"/>
  </si>
  <si>
    <t>1:担当者</t>
    <rPh sb="2" eb="4">
      <t>タントウ</t>
    </rPh>
    <rPh sb="4" eb="5">
      <t>シャ</t>
    </rPh>
    <phoneticPr fontId="8"/>
  </si>
  <si>
    <t>2:工事番号</t>
    <rPh sb="2" eb="4">
      <t>コウジ</t>
    </rPh>
    <rPh sb="4" eb="6">
      <t>バンゴウ</t>
    </rPh>
    <phoneticPr fontId="8"/>
  </si>
  <si>
    <t>3:工事名称</t>
    <rPh sb="2" eb="4">
      <t>コウジ</t>
    </rPh>
    <rPh sb="4" eb="6">
      <t>メイショウ</t>
    </rPh>
    <phoneticPr fontId="8"/>
  </si>
  <si>
    <t>5:発注者</t>
    <rPh sb="2" eb="4">
      <t>ハッチュウ</t>
    </rPh>
    <rPh sb="4" eb="5">
      <t>シャ</t>
    </rPh>
    <phoneticPr fontId="8"/>
  </si>
  <si>
    <t>6:工期　着手</t>
    <rPh sb="2" eb="4">
      <t>コウキ</t>
    </rPh>
    <rPh sb="5" eb="7">
      <t>チャクシュ</t>
    </rPh>
    <phoneticPr fontId="8"/>
  </si>
  <si>
    <t>7:工期　完成</t>
    <rPh sb="2" eb="4">
      <t>コウキ</t>
    </rPh>
    <rPh sb="5" eb="7">
      <t>カンセイ</t>
    </rPh>
    <phoneticPr fontId="7"/>
  </si>
  <si>
    <t>8:契約書</t>
    <rPh sb="2" eb="5">
      <t>ケイヤクショ</t>
    </rPh>
    <phoneticPr fontId="6"/>
  </si>
  <si>
    <t>9:契約日</t>
    <rPh sb="2" eb="5">
      <t>ケイヤクビ</t>
    </rPh>
    <phoneticPr fontId="6"/>
  </si>
  <si>
    <t>10:請負金額</t>
    <rPh sb="3" eb="5">
      <t>ウケオイ</t>
    </rPh>
    <rPh sb="5" eb="7">
      <t>キンガク</t>
    </rPh>
    <phoneticPr fontId="8"/>
  </si>
  <si>
    <t>11:アンケート
1000万円
以上送付</t>
    <phoneticPr fontId="6"/>
  </si>
  <si>
    <t>12:コメント</t>
    <phoneticPr fontId="8"/>
  </si>
  <si>
    <t>13:請求日
※依頼書作成日</t>
    <rPh sb="3" eb="5">
      <t>セイキュウ</t>
    </rPh>
    <rPh sb="5" eb="6">
      <t>ビ</t>
    </rPh>
    <rPh sb="8" eb="11">
      <t>イライショ</t>
    </rPh>
    <rPh sb="11" eb="14">
      <t>サクセイビ</t>
    </rPh>
    <phoneticPr fontId="6"/>
  </si>
  <si>
    <t>14:提出要項</t>
    <phoneticPr fontId="7"/>
  </si>
  <si>
    <t>15:同封物</t>
    <phoneticPr fontId="7"/>
  </si>
  <si>
    <t>16:提出日付</t>
    <phoneticPr fontId="7"/>
  </si>
  <si>
    <t>17:引渡日
(※工事完了日)</t>
    <phoneticPr fontId="7"/>
  </si>
  <si>
    <t>18:請求書提出先</t>
    <phoneticPr fontId="7"/>
  </si>
  <si>
    <t>19:郵便番号</t>
    <phoneticPr fontId="7"/>
  </si>
  <si>
    <t>20:提出先住所</t>
    <phoneticPr fontId="7"/>
  </si>
  <si>
    <t>21:作業現場</t>
    <phoneticPr fontId="7"/>
  </si>
  <si>
    <t>22:作業依頼者</t>
    <phoneticPr fontId="7"/>
  </si>
  <si>
    <t>12:担当者引継ぎコメント</t>
    <rPh sb="3" eb="6">
      <t>タントウシャ</t>
    </rPh>
    <rPh sb="6" eb="8">
      <t>ヒキツ</t>
    </rPh>
    <phoneticPr fontId="7"/>
  </si>
  <si>
    <t>03-2303-012</t>
    <phoneticPr fontId="6"/>
  </si>
  <si>
    <t>日鉄ﾃｯｸｽｴﾝｼﾞ㈱</t>
    <rPh sb="0" eb="2">
      <t>ニッテツ</t>
    </rPh>
    <phoneticPr fontId="5"/>
  </si>
  <si>
    <t>―</t>
  </si>
  <si>
    <t>03-2303-014</t>
    <phoneticPr fontId="6"/>
  </si>
  <si>
    <t>小林電工㈱新社屋新築工事</t>
    <rPh sb="0" eb="2">
      <t>コバヤシ</t>
    </rPh>
    <rPh sb="2" eb="4">
      <t>デンコウ</t>
    </rPh>
    <rPh sb="5" eb="8">
      <t>シンシャオク</t>
    </rPh>
    <rPh sb="8" eb="12">
      <t>シンチクコウジ</t>
    </rPh>
    <phoneticPr fontId="6"/>
  </si>
  <si>
    <t>小林電工㈱</t>
    <phoneticPr fontId="6"/>
  </si>
  <si>
    <t>03-2303-016</t>
    <phoneticPr fontId="6"/>
  </si>
  <si>
    <t>岡上運輸㈱合金鉄C号倉庫　新築工事　</t>
    <phoneticPr fontId="6"/>
  </si>
  <si>
    <t>岡上運輸㈱</t>
    <phoneticPr fontId="6"/>
  </si>
  <si>
    <t>岡上運輸㈱合金鉄C号倉庫　分界点以降：1次側電源工事　</t>
    <phoneticPr fontId="6"/>
  </si>
  <si>
    <t>03-2403-007</t>
    <phoneticPr fontId="6"/>
  </si>
  <si>
    <t>平岡設計</t>
    <rPh sb="0" eb="2">
      <t>ヒラオカ</t>
    </rPh>
    <rPh sb="2" eb="4">
      <t>セッケイ</t>
    </rPh>
    <phoneticPr fontId="6"/>
  </si>
  <si>
    <t>03-2403-008</t>
    <phoneticPr fontId="6"/>
  </si>
  <si>
    <t>03-2403-013</t>
    <phoneticPr fontId="6"/>
  </si>
  <si>
    <t>日本生命　兵庫小野オフィス新築工事</t>
    <phoneticPr fontId="6"/>
  </si>
  <si>
    <t>㈱藤木工務店</t>
    <rPh sb="1" eb="3">
      <t>フジキ</t>
    </rPh>
    <rPh sb="3" eb="6">
      <t>コウムテン</t>
    </rPh>
    <phoneticPr fontId="6"/>
  </si>
  <si>
    <t>03-2403-014</t>
    <phoneticPr fontId="6"/>
  </si>
  <si>
    <t>大一倉庫　外壁改修工事</t>
    <rPh sb="0" eb="2">
      <t>ダイイチ</t>
    </rPh>
    <rPh sb="2" eb="4">
      <t>ソウコ</t>
    </rPh>
    <rPh sb="5" eb="7">
      <t>ガイヘキ</t>
    </rPh>
    <rPh sb="7" eb="9">
      <t>カイシュウ</t>
    </rPh>
    <rPh sb="9" eb="11">
      <t>コウジ</t>
    </rPh>
    <phoneticPr fontId="6"/>
  </si>
  <si>
    <t>―</t>
    <phoneticPr fontId="6"/>
  </si>
  <si>
    <t>03-2403-015</t>
    <phoneticPr fontId="6"/>
  </si>
  <si>
    <t>日鉄物流㈱ （仮称）王子原社宅　Ⅲ新築工事</t>
    <phoneticPr fontId="6"/>
  </si>
  <si>
    <t>NSハイパーツ/日鉄ﾃｯｸｽｴﾝｼﾞ㈱</t>
    <phoneticPr fontId="6"/>
  </si>
  <si>
    <t>03-2403-017</t>
    <phoneticPr fontId="6"/>
  </si>
  <si>
    <t>日鉄物流㈱ （仮称）王子原社宅　Ⅱ新築工事</t>
    <phoneticPr fontId="6"/>
  </si>
  <si>
    <t>NSハイパーツ/日鉄ﾃｯｸｽｴﾝｼﾞ㈱</t>
  </si>
  <si>
    <t>03-2403-018</t>
    <phoneticPr fontId="6"/>
  </si>
  <si>
    <t>阿比野建設　広畑構内事務所新築工事</t>
    <phoneticPr fontId="6"/>
  </si>
  <si>
    <t>自社</t>
    <rPh sb="0" eb="2">
      <t>ジシャ</t>
    </rPh>
    <phoneticPr fontId="6"/>
  </si>
  <si>
    <t>03-2403-019</t>
    <phoneticPr fontId="6"/>
  </si>
  <si>
    <t>日本生命　滋賀彦根オフィス新築工事（設計費）</t>
    <phoneticPr fontId="6"/>
  </si>
  <si>
    <t>03-2410-008</t>
    <phoneticPr fontId="6"/>
  </si>
  <si>
    <t>クレーネサンヨウ浴室改修工事</t>
    <phoneticPr fontId="6"/>
  </si>
  <si>
    <t>03-2412-004</t>
    <phoneticPr fontId="6"/>
  </si>
  <si>
    <t>姫路市立御国野小学校外1校屋内運動場空調設備設置工事</t>
    <phoneticPr fontId="6"/>
  </si>
  <si>
    <t>03-2501-110</t>
    <phoneticPr fontId="6"/>
  </si>
  <si>
    <t>ライフガーデン吾妻壱番館515号室UB取替工事</t>
    <rPh sb="7" eb="9">
      <t>アズマ</t>
    </rPh>
    <rPh sb="9" eb="10">
      <t>イツ</t>
    </rPh>
    <rPh sb="10" eb="12">
      <t>バンカン</t>
    </rPh>
    <rPh sb="15" eb="17">
      <t>ゴウシツ</t>
    </rPh>
    <rPh sb="19" eb="21">
      <t>トリカエ</t>
    </rPh>
    <rPh sb="21" eb="23">
      <t>コウジ</t>
    </rPh>
    <phoneticPr fontId="6"/>
  </si>
  <si>
    <t>03-2503-001</t>
    <phoneticPr fontId="6"/>
  </si>
  <si>
    <t>日鉄建材㈱姫路製造所　浄化槽更新工事（新設工事・解体工事）</t>
    <rPh sb="19" eb="21">
      <t>シンセツ</t>
    </rPh>
    <rPh sb="21" eb="23">
      <t>コウジ</t>
    </rPh>
    <rPh sb="24" eb="26">
      <t>カイタイ</t>
    </rPh>
    <rPh sb="26" eb="28">
      <t>コウジ</t>
    </rPh>
    <phoneticPr fontId="6"/>
  </si>
  <si>
    <t>日鉄建材㈱</t>
    <rPh sb="0" eb="2">
      <t>ニッテツ</t>
    </rPh>
    <rPh sb="2" eb="4">
      <t>ケンザイ</t>
    </rPh>
    <phoneticPr fontId="6"/>
  </si>
  <si>
    <t>03-2503-002</t>
    <phoneticPr fontId="6"/>
  </si>
  <si>
    <t>03-2503-003</t>
    <phoneticPr fontId="6"/>
  </si>
  <si>
    <t>京都府看護学校整備事業 学生寮建設工事</t>
    <phoneticPr fontId="6"/>
  </si>
  <si>
    <t>金下建設㈱</t>
    <rPh sb="0" eb="2">
      <t>カネシタ</t>
    </rPh>
    <rPh sb="2" eb="4">
      <t>ケンセツ</t>
    </rPh>
    <phoneticPr fontId="6"/>
  </si>
  <si>
    <t>03-2508-001</t>
    <phoneticPr fontId="6"/>
  </si>
  <si>
    <t>(仮称)春日倉庫第2物流センター 新築工事</t>
    <phoneticPr fontId="6"/>
  </si>
  <si>
    <t>春日倉庫㈱代表取締役社長　朝井嘉行</t>
    <rPh sb="0" eb="4">
      <t>カスガソウコ</t>
    </rPh>
    <rPh sb="5" eb="10">
      <t>ダイヒョウトリシマリヤク</t>
    </rPh>
    <rPh sb="10" eb="12">
      <t>シャチョウ</t>
    </rPh>
    <rPh sb="13" eb="15">
      <t>アサイ</t>
    </rPh>
    <rPh sb="15" eb="16">
      <t>ヨシ</t>
    </rPh>
    <rPh sb="16" eb="17">
      <t>ユキ</t>
    </rPh>
    <phoneticPr fontId="3"/>
  </si>
  <si>
    <t>03-2508-002</t>
    <phoneticPr fontId="6"/>
  </si>
  <si>
    <t>(仮称)アリノベ本社工場新築工事</t>
    <phoneticPr fontId="6"/>
  </si>
  <si>
    <t>03-2510-001</t>
    <phoneticPr fontId="6"/>
  </si>
  <si>
    <t>兵庫縣姫路護國神社休憩所新築その他工事</t>
    <rPh sb="3" eb="5">
      <t>ヒメジ</t>
    </rPh>
    <rPh sb="5" eb="6">
      <t>マモル</t>
    </rPh>
    <rPh sb="6" eb="7">
      <t>コク</t>
    </rPh>
    <rPh sb="7" eb="9">
      <t>ジンジャ</t>
    </rPh>
    <rPh sb="9" eb="11">
      <t>キュウケイ</t>
    </rPh>
    <rPh sb="11" eb="12">
      <t>ショ</t>
    </rPh>
    <rPh sb="12" eb="14">
      <t>シンチク</t>
    </rPh>
    <rPh sb="16" eb="17">
      <t>タ</t>
    </rPh>
    <rPh sb="17" eb="19">
      <t>コウジ</t>
    </rPh>
    <phoneticPr fontId="6"/>
  </si>
  <si>
    <t>姫路護國神社</t>
    <phoneticPr fontId="6"/>
  </si>
  <si>
    <t>なし</t>
    <phoneticPr fontId="3"/>
  </si>
  <si>
    <t>済</t>
    <rPh sb="0" eb="1">
      <t>スミ</t>
    </rPh>
    <phoneticPr fontId="3"/>
  </si>
  <si>
    <t>03-2510-002</t>
    <phoneticPr fontId="6"/>
  </si>
  <si>
    <t>東芝エレベータ㈱</t>
    <phoneticPr fontId="6"/>
  </si>
  <si>
    <t>03-2510-003</t>
    <phoneticPr fontId="6"/>
  </si>
  <si>
    <t>ライフガーデン吾妻壱番館515号室トイレ改修他工事</t>
    <rPh sb="20" eb="22">
      <t>カイシュウ</t>
    </rPh>
    <rPh sb="22" eb="23">
      <t>ホカ</t>
    </rPh>
    <rPh sb="23" eb="25">
      <t>コウジ</t>
    </rPh>
    <phoneticPr fontId="6"/>
  </si>
  <si>
    <t>03-2512-001</t>
    <phoneticPr fontId="6"/>
  </si>
  <si>
    <t>医療法人社団　健樹会　ささき整形外科クリニック点字タイル補修工事</t>
    <rPh sb="0" eb="2">
      <t>イリョウ</t>
    </rPh>
    <rPh sb="2" eb="4">
      <t>ホウジン</t>
    </rPh>
    <rPh sb="4" eb="6">
      <t>シャダン</t>
    </rPh>
    <rPh sb="7" eb="8">
      <t>ケン</t>
    </rPh>
    <rPh sb="8" eb="9">
      <t>ジュ</t>
    </rPh>
    <rPh sb="9" eb="10">
      <t>カイ</t>
    </rPh>
    <rPh sb="14" eb="18">
      <t>セイケイゲカ</t>
    </rPh>
    <rPh sb="23" eb="25">
      <t>テンジ</t>
    </rPh>
    <rPh sb="28" eb="30">
      <t>ホシュウ</t>
    </rPh>
    <rPh sb="30" eb="32">
      <t>コウジ</t>
    </rPh>
    <phoneticPr fontId="6"/>
  </si>
  <si>
    <t>医療法人社団　健樹会　院長先生</t>
    <rPh sb="11" eb="15">
      <t>インチョウセンセイ</t>
    </rPh>
    <phoneticPr fontId="6"/>
  </si>
  <si>
    <t>03-2513-001</t>
    <phoneticPr fontId="6"/>
  </si>
  <si>
    <t>(仮称)岡崎整形外科 新築工事</t>
    <phoneticPr fontId="6"/>
  </si>
  <si>
    <t>03-2513-002</t>
    <phoneticPr fontId="6"/>
  </si>
  <si>
    <t>㈱IHI 桜ヶ丘7棟1階事務所改装工事</t>
    <rPh sb="5" eb="8">
      <t>サクラガオカ</t>
    </rPh>
    <rPh sb="9" eb="10">
      <t>トウ</t>
    </rPh>
    <rPh sb="11" eb="12">
      <t>カイ</t>
    </rPh>
    <rPh sb="12" eb="15">
      <t>ジムショ</t>
    </rPh>
    <rPh sb="15" eb="17">
      <t>カイソウ</t>
    </rPh>
    <rPh sb="17" eb="19">
      <t>コウジ</t>
    </rPh>
    <phoneticPr fontId="6"/>
  </si>
  <si>
    <t>㈱IHI　</t>
    <phoneticPr fontId="6"/>
  </si>
  <si>
    <t>03-2513-003</t>
    <phoneticPr fontId="6"/>
  </si>
  <si>
    <t>㈱IHI　相総事務所建屋安全対策および撤去工事</t>
    <rPh sb="5" eb="6">
      <t>ソウ</t>
    </rPh>
    <rPh sb="6" eb="7">
      <t>ソウ</t>
    </rPh>
    <rPh sb="7" eb="10">
      <t>ジムショ</t>
    </rPh>
    <rPh sb="10" eb="12">
      <t>タテヤ</t>
    </rPh>
    <rPh sb="12" eb="14">
      <t>アンゼン</t>
    </rPh>
    <rPh sb="14" eb="16">
      <t>タイサク</t>
    </rPh>
    <rPh sb="19" eb="21">
      <t>テッキョ</t>
    </rPh>
    <rPh sb="21" eb="23">
      <t>コウジ</t>
    </rPh>
    <phoneticPr fontId="6"/>
  </si>
  <si>
    <t>03-2515-001</t>
    <phoneticPr fontId="6"/>
  </si>
  <si>
    <t>赤穂市 新学校給食センター新築工事【2025.6.1以降】</t>
    <rPh sb="26" eb="28">
      <t>イコウ</t>
    </rPh>
    <phoneticPr fontId="6"/>
  </si>
  <si>
    <t>森崎組JV（請負総2,023,030,000）</t>
    <phoneticPr fontId="6"/>
  </si>
  <si>
    <t>03-2523-001</t>
    <phoneticPr fontId="6"/>
  </si>
  <si>
    <t>キングフーズ㈱擁壁補修工事</t>
    <rPh sb="7" eb="9">
      <t>ヨウヘキ</t>
    </rPh>
    <rPh sb="9" eb="11">
      <t>ホシュウ</t>
    </rPh>
    <rPh sb="11" eb="13">
      <t>コウジ</t>
    </rPh>
    <phoneticPr fontId="6"/>
  </si>
  <si>
    <t>キングフーズ㈱</t>
    <phoneticPr fontId="6"/>
  </si>
  <si>
    <t>04-2413-028</t>
    <phoneticPr fontId="6"/>
  </si>
  <si>
    <t>㈱IHI　しおどめ倉庫・工水製造装置撤去工事</t>
    <rPh sb="9" eb="11">
      <t>ソウコ</t>
    </rPh>
    <rPh sb="12" eb="13">
      <t>コウ</t>
    </rPh>
    <rPh sb="13" eb="14">
      <t>スイ</t>
    </rPh>
    <rPh sb="14" eb="16">
      <t>セイゾウ</t>
    </rPh>
    <rPh sb="16" eb="18">
      <t>ソウチ</t>
    </rPh>
    <rPh sb="18" eb="22">
      <t>テッキョコウジ</t>
    </rPh>
    <phoneticPr fontId="6"/>
  </si>
  <si>
    <t>04-2413-033</t>
    <phoneticPr fontId="6"/>
  </si>
  <si>
    <t>㈱IHI　ＩＡ開発試験場法面整備工事</t>
    <phoneticPr fontId="6"/>
  </si>
  <si>
    <t>04-2414-011</t>
    <phoneticPr fontId="6"/>
  </si>
  <si>
    <t>03-2514-001</t>
    <phoneticPr fontId="3"/>
  </si>
  <si>
    <t>オルカ・サンヨウ宅配BOX前 防犯カメラ設置工事</t>
    <phoneticPr fontId="3"/>
  </si>
  <si>
    <t>山陽特殊製鋼㈱</t>
    <phoneticPr fontId="3"/>
  </si>
  <si>
    <t>03-2514-002</t>
    <phoneticPr fontId="3"/>
  </si>
  <si>
    <t>オルカ・サンヨウ、クレーネサンヨウ グレーチング設置工事</t>
    <phoneticPr fontId="3"/>
  </si>
  <si>
    <t>03-2509-001</t>
    <phoneticPr fontId="3"/>
  </si>
  <si>
    <t>カノープス姫路浴室建具ATゴム調整</t>
    <rPh sb="5" eb="7">
      <t>ヒメジ</t>
    </rPh>
    <rPh sb="7" eb="9">
      <t>ヨクシツ</t>
    </rPh>
    <rPh sb="9" eb="11">
      <t>タテグ</t>
    </rPh>
    <rPh sb="15" eb="17">
      <t>チョウセイ</t>
    </rPh>
    <phoneticPr fontId="3"/>
  </si>
  <si>
    <t>カノープス姫路</t>
    <rPh sb="5" eb="7">
      <t>ヒメジ</t>
    </rPh>
    <phoneticPr fontId="3"/>
  </si>
  <si>
    <t>03-2509-002</t>
  </si>
  <si>
    <t>　　　　　工事番号の採番ルール　　</t>
    <rPh sb="5" eb="7">
      <t>コウジ</t>
    </rPh>
    <rPh sb="7" eb="9">
      <t>バンゴウ</t>
    </rPh>
    <rPh sb="10" eb="11">
      <t>サイ</t>
    </rPh>
    <rPh sb="11" eb="12">
      <t>バン</t>
    </rPh>
    <phoneticPr fontId="6"/>
  </si>
  <si>
    <t>6/1以降は小工事もすべて部門コード　『　03　』　で採番となります</t>
    <rPh sb="3" eb="5">
      <t>イコウ</t>
    </rPh>
    <rPh sb="6" eb="9">
      <t>ショウコウジ</t>
    </rPh>
    <rPh sb="13" eb="15">
      <t>ブモン</t>
    </rPh>
    <rPh sb="27" eb="29">
      <t>サイバン</t>
    </rPh>
    <phoneticPr fontId="6"/>
  </si>
  <si>
    <r>
      <rPr>
        <b/>
        <sz val="12"/>
        <color rgb="FFFF0000"/>
        <rFont val="Meiryo UI"/>
        <family val="3"/>
        <charset val="128"/>
      </rPr>
      <t>03-2501-999</t>
    </r>
    <r>
      <rPr>
        <b/>
        <sz val="12"/>
        <rFont val="Meiryo UI"/>
        <family val="3"/>
        <charset val="128"/>
      </rPr>
      <t>：雑工事　</t>
    </r>
    <rPh sb="12" eb="13">
      <t>ザツ</t>
    </rPh>
    <rPh sb="13" eb="15">
      <t>コウジ</t>
    </rPh>
    <phoneticPr fontId="6"/>
  </si>
  <si>
    <t>2025年　工事・見積番号一覧表（2025.6.1～2026.5.31）</t>
    <rPh sb="4" eb="5">
      <t>ネン</t>
    </rPh>
    <rPh sb="6" eb="7">
      <t>コウ</t>
    </rPh>
    <rPh sb="7" eb="8">
      <t>ジ</t>
    </rPh>
    <rPh sb="9" eb="11">
      <t>ミツ</t>
    </rPh>
    <rPh sb="11" eb="13">
      <t>バンゴウ</t>
    </rPh>
    <rPh sb="13" eb="15">
      <t>イチラン</t>
    </rPh>
    <rPh sb="15" eb="16">
      <t>ヒョウ</t>
    </rPh>
    <phoneticPr fontId="8"/>
  </si>
  <si>
    <t>工事番号</t>
    <rPh sb="0" eb="1">
      <t>コウ</t>
    </rPh>
    <rPh sb="1" eb="2">
      <t>ジ</t>
    </rPh>
    <rPh sb="2" eb="4">
      <t>バンゴウ</t>
    </rPh>
    <phoneticPr fontId="8"/>
  </si>
  <si>
    <t>見積番号</t>
    <rPh sb="0" eb="2">
      <t>ミツ</t>
    </rPh>
    <rPh sb="2" eb="4">
      <t>バンゴウ</t>
    </rPh>
    <phoneticPr fontId="8"/>
  </si>
  <si>
    <t>部門番号</t>
    <rPh sb="0" eb="2">
      <t>ブモン</t>
    </rPh>
    <rPh sb="2" eb="4">
      <t>バンゴウ</t>
    </rPh>
    <phoneticPr fontId="6"/>
  </si>
  <si>
    <t>西暦</t>
    <rPh sb="0" eb="2">
      <t>セイレキ</t>
    </rPh>
    <phoneticPr fontId="8"/>
  </si>
  <si>
    <t>個人番号</t>
    <rPh sb="0" eb="2">
      <t>コジン</t>
    </rPh>
    <rPh sb="2" eb="4">
      <t>バンゴウ</t>
    </rPh>
    <phoneticPr fontId="8"/>
  </si>
  <si>
    <t>通し番号</t>
    <rPh sb="0" eb="1">
      <t>トオ</t>
    </rPh>
    <rPh sb="2" eb="4">
      <t>バンゴウ</t>
    </rPh>
    <phoneticPr fontId="8"/>
  </si>
  <si>
    <t>氏　　名</t>
    <rPh sb="0" eb="1">
      <t>シ</t>
    </rPh>
    <rPh sb="3" eb="4">
      <t>メイ</t>
    </rPh>
    <phoneticPr fontId="8"/>
  </si>
  <si>
    <t>例)03</t>
    <rPh sb="0" eb="1">
      <t>レイ</t>
    </rPh>
    <phoneticPr fontId="6"/>
  </si>
  <si>
    <t>01</t>
    <phoneticPr fontId="8"/>
  </si>
  <si>
    <t>001</t>
    <phoneticPr fontId="8"/>
  </si>
  <si>
    <t>～</t>
    <phoneticPr fontId="8"/>
  </si>
  <si>
    <t>欠番</t>
    <rPh sb="0" eb="2">
      <t>ケツバン</t>
    </rPh>
    <phoneticPr fontId="6"/>
  </si>
  <si>
    <t>02</t>
    <rPh sb="0" eb="1">
      <t>ケツバン</t>
    </rPh>
    <phoneticPr fontId="6"/>
  </si>
  <si>
    <t>02</t>
  </si>
  <si>
    <t>001</t>
  </si>
  <si>
    <t>03</t>
    <phoneticPr fontId="6"/>
  </si>
  <si>
    <t>03</t>
  </si>
  <si>
    <t>髙見淳也</t>
    <rPh sb="0" eb="1">
      <t>タカ</t>
    </rPh>
    <rPh sb="1" eb="2">
      <t>ミ</t>
    </rPh>
    <rPh sb="2" eb="4">
      <t>ジュンヤ</t>
    </rPh>
    <phoneticPr fontId="6"/>
  </si>
  <si>
    <t>04</t>
  </si>
  <si>
    <t>05</t>
  </si>
  <si>
    <t>06</t>
  </si>
  <si>
    <t>07</t>
  </si>
  <si>
    <t>08</t>
  </si>
  <si>
    <t>猪澤和喜</t>
    <rPh sb="0" eb="1">
      <t>イノ</t>
    </rPh>
    <rPh sb="1" eb="2">
      <t>サワ</t>
    </rPh>
    <rPh sb="2" eb="3">
      <t>カズ</t>
    </rPh>
    <rPh sb="3" eb="4">
      <t>キ</t>
    </rPh>
    <phoneticPr fontId="6"/>
  </si>
  <si>
    <t>09</t>
  </si>
  <si>
    <t>柴田裕一朗</t>
    <rPh sb="0" eb="2">
      <t>シバタ</t>
    </rPh>
    <rPh sb="2" eb="4">
      <t>ユウイチ</t>
    </rPh>
    <rPh sb="4" eb="5">
      <t>ロウ</t>
    </rPh>
    <phoneticPr fontId="6"/>
  </si>
  <si>
    <t>10</t>
  </si>
  <si>
    <t>白井栄司</t>
    <rPh sb="0" eb="2">
      <t>シライ</t>
    </rPh>
    <rPh sb="2" eb="4">
      <t>エイジ</t>
    </rPh>
    <phoneticPr fontId="6"/>
  </si>
  <si>
    <t>11</t>
  </si>
  <si>
    <t>12</t>
  </si>
  <si>
    <t>畑田洋樹</t>
    <rPh sb="0" eb="2">
      <t>ハタダ</t>
    </rPh>
    <rPh sb="2" eb="3">
      <t>ヨウ</t>
    </rPh>
    <rPh sb="3" eb="4">
      <t>キ</t>
    </rPh>
    <phoneticPr fontId="6"/>
  </si>
  <si>
    <t>13</t>
  </si>
  <si>
    <t>福永将士</t>
    <rPh sb="0" eb="2">
      <t>フクナガ</t>
    </rPh>
    <rPh sb="2" eb="4">
      <t>マサシシ</t>
    </rPh>
    <phoneticPr fontId="6"/>
  </si>
  <si>
    <t>14</t>
  </si>
  <si>
    <t>保原詠史</t>
    <rPh sb="0" eb="1">
      <t>ホ</t>
    </rPh>
    <rPh sb="1" eb="2">
      <t>ヤスハラ</t>
    </rPh>
    <rPh sb="2" eb="3">
      <t>エイ</t>
    </rPh>
    <rPh sb="3" eb="4">
      <t>シ</t>
    </rPh>
    <phoneticPr fontId="6"/>
  </si>
  <si>
    <t>15</t>
  </si>
  <si>
    <t>井川貴裕</t>
    <rPh sb="0" eb="2">
      <t>イカワ</t>
    </rPh>
    <rPh sb="2" eb="3">
      <t>タカ</t>
    </rPh>
    <rPh sb="3" eb="4">
      <t>ヒロ</t>
    </rPh>
    <phoneticPr fontId="6"/>
  </si>
  <si>
    <t>16</t>
  </si>
  <si>
    <t>青田　 　誠</t>
    <rPh sb="0" eb="2">
      <t>アオタ</t>
    </rPh>
    <rPh sb="5" eb="6">
      <t>マコト</t>
    </rPh>
    <phoneticPr fontId="6"/>
  </si>
  <si>
    <t>17</t>
  </si>
  <si>
    <t>18</t>
  </si>
  <si>
    <t>中本和孝</t>
    <rPh sb="0" eb="2">
      <t>ナカモト</t>
    </rPh>
    <rPh sb="2" eb="4">
      <t>カズタカ</t>
    </rPh>
    <phoneticPr fontId="6"/>
  </si>
  <si>
    <t>19</t>
  </si>
  <si>
    <t>前田拓夢</t>
    <rPh sb="0" eb="2">
      <t>マエダ</t>
    </rPh>
    <rPh sb="2" eb="3">
      <t>タク</t>
    </rPh>
    <rPh sb="3" eb="4">
      <t>ユメ</t>
    </rPh>
    <phoneticPr fontId="6"/>
  </si>
  <si>
    <t>21</t>
  </si>
  <si>
    <t>22</t>
  </si>
  <si>
    <t>23</t>
  </si>
  <si>
    <t>近藤正和</t>
    <phoneticPr fontId="6"/>
  </si>
  <si>
    <t>24</t>
  </si>
  <si>
    <t>黒木清司</t>
    <rPh sb="0" eb="2">
      <t>クロキ</t>
    </rPh>
    <rPh sb="2" eb="4">
      <t>キヨシ</t>
    </rPh>
    <phoneticPr fontId="6"/>
  </si>
  <si>
    <t>25</t>
  </si>
  <si>
    <t>松本潤季</t>
    <rPh sb="0" eb="2">
      <t>マツモト</t>
    </rPh>
    <rPh sb="2" eb="3">
      <t>ジュン</t>
    </rPh>
    <rPh sb="3" eb="4">
      <t>キ</t>
    </rPh>
    <phoneticPr fontId="6"/>
  </si>
  <si>
    <t>26</t>
  </si>
  <si>
    <t>27</t>
  </si>
  <si>
    <t>西脇稔洋</t>
    <rPh sb="0" eb="2">
      <t>ニシワキ</t>
    </rPh>
    <rPh sb="2" eb="3">
      <t>ネン</t>
    </rPh>
    <rPh sb="3" eb="4">
      <t>ヨウ</t>
    </rPh>
    <phoneticPr fontId="6"/>
  </si>
  <si>
    <t>28</t>
  </si>
  <si>
    <t>岸本成文</t>
    <rPh sb="0" eb="2">
      <t>キシモト</t>
    </rPh>
    <rPh sb="2" eb="4">
      <t>ナリフミ</t>
    </rPh>
    <phoneticPr fontId="6"/>
  </si>
  <si>
    <t>小林京介</t>
    <rPh sb="0" eb="2">
      <t>コバヤシ</t>
    </rPh>
    <rPh sb="2" eb="4">
      <t>キョウスケ</t>
    </rPh>
    <phoneticPr fontId="6"/>
  </si>
  <si>
    <t>米田　明紋</t>
    <phoneticPr fontId="6"/>
  </si>
  <si>
    <t>003</t>
  </si>
  <si>
    <t>秋武琉斗</t>
    <rPh sb="0" eb="2">
      <t>アキタケ</t>
    </rPh>
    <rPh sb="2" eb="3">
      <t>リュウ</t>
    </rPh>
    <rPh sb="3" eb="4">
      <t>ト</t>
    </rPh>
    <phoneticPr fontId="6"/>
  </si>
  <si>
    <t>005</t>
  </si>
  <si>
    <t>横谷　泰成</t>
    <phoneticPr fontId="6"/>
  </si>
  <si>
    <t>006</t>
  </si>
  <si>
    <t>岸本健司</t>
    <rPh sb="0" eb="2">
      <t>キシモト</t>
    </rPh>
    <rPh sb="2" eb="4">
      <t>ケンジ</t>
    </rPh>
    <phoneticPr fontId="6"/>
  </si>
  <si>
    <t>007</t>
  </si>
  <si>
    <t>船曳 誠</t>
    <rPh sb="0" eb="4">
      <t>フ</t>
    </rPh>
    <phoneticPr fontId="6"/>
  </si>
  <si>
    <t>担当者名</t>
    <rPh sb="0" eb="4">
      <t>タントウシャメイ</t>
    </rPh>
    <phoneticPr fontId="6"/>
  </si>
  <si>
    <t>担当者番号</t>
    <rPh sb="0" eb="3">
      <t>タントウシャ</t>
    </rPh>
    <rPh sb="3" eb="5">
      <t>バンゴウ</t>
    </rPh>
    <phoneticPr fontId="6"/>
  </si>
  <si>
    <t>シート設定</t>
    <rPh sb="3" eb="5">
      <t>セッテイ</t>
    </rPh>
    <phoneticPr fontId="6"/>
  </si>
  <si>
    <t>ファイル・シート名</t>
    <rPh sb="8" eb="9">
      <t>メイ</t>
    </rPh>
    <phoneticPr fontId="6"/>
  </si>
  <si>
    <t>管理者Excel</t>
    <rPh sb="0" eb="3">
      <t>カンリシャ</t>
    </rPh>
    <phoneticPr fontId="6"/>
  </si>
  <si>
    <t>管理者シート</t>
    <rPh sb="0" eb="3">
      <t>カンリシャ</t>
    </rPh>
    <phoneticPr fontId="6"/>
  </si>
  <si>
    <t>管理マスタ</t>
  </si>
  <si>
    <t>工事番号一覧</t>
  </si>
  <si>
    <t>請求書提出先</t>
  </si>
  <si>
    <t>郵便番号</t>
    <rPh sb="0" eb="4">
      <t>ユウビンバンゴウ</t>
    </rPh>
    <phoneticPr fontId="6"/>
  </si>
  <si>
    <t>住所</t>
    <rPh sb="0" eb="2">
      <t>ジュウショ</t>
    </rPh>
    <phoneticPr fontId="6"/>
  </si>
  <si>
    <t>提出要項</t>
    <rPh sb="0" eb="2">
      <t>テイシュツ</t>
    </rPh>
    <rPh sb="2" eb="4">
      <t>ヨウコウ</t>
    </rPh>
    <phoneticPr fontId="6"/>
  </si>
  <si>
    <t>同封物</t>
    <rPh sb="0" eb="3">
      <t>ドウフウブツ</t>
    </rPh>
    <phoneticPr fontId="6"/>
  </si>
  <si>
    <t>郵送至急</t>
  </si>
  <si>
    <t>見積書</t>
    <rPh sb="2" eb="3">
      <t>カ</t>
    </rPh>
    <phoneticPr fontId="6"/>
  </si>
  <si>
    <t>郵送普通</t>
  </si>
  <si>
    <t>納品書</t>
  </si>
  <si>
    <t>持参</t>
  </si>
  <si>
    <t>領収書</t>
  </si>
  <si>
    <t>依頼者に返送</t>
  </si>
  <si>
    <t>Z:\全社共有\建築事業部\30_事務\工事番号管理\工事番号管理表.xlsx</t>
    <phoneticPr fontId="6"/>
  </si>
  <si>
    <t>工事番号一覧</t>
    <phoneticPr fontId="3"/>
  </si>
  <si>
    <t>その他マスタ</t>
    <rPh sb="2" eb="3">
      <t>ホカ</t>
    </rPh>
    <phoneticPr fontId="3"/>
  </si>
  <si>
    <t>髙見淳也</t>
    <phoneticPr fontId="6"/>
  </si>
  <si>
    <t>猪澤和喜</t>
    <rPh sb="0" eb="1">
      <t>イノ</t>
    </rPh>
    <rPh sb="1" eb="2">
      <t>サワ</t>
    </rPh>
    <rPh sb="2" eb="3">
      <t>ワ</t>
    </rPh>
    <rPh sb="3" eb="4">
      <t>キ</t>
    </rPh>
    <phoneticPr fontId="6"/>
  </si>
  <si>
    <t>白井栄司</t>
    <phoneticPr fontId="6"/>
  </si>
  <si>
    <t>猪澤和喜</t>
    <phoneticPr fontId="6"/>
  </si>
  <si>
    <t>福永将士</t>
  </si>
  <si>
    <t>福永将士</t>
    <phoneticPr fontId="6"/>
  </si>
  <si>
    <t>福永将士</t>
    <phoneticPr fontId="3"/>
  </si>
  <si>
    <t>井川貴裕</t>
    <phoneticPr fontId="6"/>
  </si>
  <si>
    <t>保原詠史</t>
  </si>
  <si>
    <t>柴田裕一朗</t>
    <phoneticPr fontId="3"/>
  </si>
  <si>
    <t>柴田裕一朗</t>
  </si>
  <si>
    <t>03-2509-003</t>
  </si>
  <si>
    <t>石川病院</t>
  </si>
  <si>
    <t>ー</t>
  </si>
  <si>
    <t>髙見淳也</t>
  </si>
  <si>
    <t>03-2513-004</t>
  </si>
  <si>
    <t>ニッケあすも　クロス補修工事</t>
  </si>
  <si>
    <t>㈱ニッケ・ケアサービス</t>
  </si>
  <si>
    <t>03-2513-005</t>
  </si>
  <si>
    <t>ニッケあすも220号室　補修工事</t>
  </si>
  <si>
    <t>ニッケあすも加古川220号室水田泰子様</t>
  </si>
  <si>
    <t>03-2513-006</t>
  </si>
  <si>
    <t>ニッケあすも217号室補修工事</t>
  </si>
  <si>
    <t>ニッケあすも加古川217号室　酒井節男様</t>
  </si>
  <si>
    <t>03-2513-007</t>
  </si>
  <si>
    <t>ニッケあすも207号室　補修工事</t>
  </si>
  <si>
    <t>ニッケあすも加古川207号室　原哲哉様</t>
  </si>
  <si>
    <t>㈱ニッケ・ケアサービス　ニッケあすも加古川</t>
  </si>
  <si>
    <t>675-0037</t>
  </si>
  <si>
    <t>加古川市加古川町本町239-1</t>
  </si>
  <si>
    <t>ニッケあすも内</t>
  </si>
  <si>
    <t>ニッケあすも加古川　220号室　水田泰子</t>
    <phoneticPr fontId="3"/>
  </si>
  <si>
    <t>郵送普通</t>
    <phoneticPr fontId="3"/>
  </si>
  <si>
    <t>領収書</t>
    <phoneticPr fontId="3"/>
  </si>
  <si>
    <t>675-0037</t>
    <phoneticPr fontId="3"/>
  </si>
  <si>
    <t>加古川市加古川町本町239-1</t>
    <phoneticPr fontId="3"/>
  </si>
  <si>
    <t>ニッケあすも内</t>
    <phoneticPr fontId="3"/>
  </si>
  <si>
    <t>ニッケあすも加古川　217号室　酒井　節男</t>
  </si>
  <si>
    <t>ニッケあすも加古川　217号室　酒井　節男</t>
    <phoneticPr fontId="3"/>
  </si>
  <si>
    <t>㈱ニッケ・ケアサービス　ニッケあすも加古川</t>
    <phoneticPr fontId="3"/>
  </si>
  <si>
    <t>ニッケあすも加古川　207号室　原　哲哉</t>
  </si>
  <si>
    <t>ニッケあすも加古川　207号室　原哲哉</t>
  </si>
  <si>
    <t>日鉄テックスエンジ㈱山口調達部</t>
  </si>
  <si>
    <t>◯</t>
  </si>
  <si>
    <t>白井栄司</t>
    <phoneticPr fontId="3"/>
  </si>
  <si>
    <t>03-2510-004</t>
    <phoneticPr fontId="3"/>
  </si>
  <si>
    <t>㈱三友鋼機　屋根修繕工事</t>
    <phoneticPr fontId="3"/>
  </si>
  <si>
    <t>常総開発工業㈱</t>
    <phoneticPr fontId="3"/>
  </si>
  <si>
    <t>ー</t>
    <phoneticPr fontId="3"/>
  </si>
  <si>
    <t>moon hair・moon fur店舗新築工事</t>
  </si>
  <si>
    <t>㈱ガイヤ　代表取締役　岩本涼</t>
  </si>
  <si>
    <t>森工務店㈱</t>
  </si>
  <si>
    <t>㈲アリノベ 代表取締役 有延 秀棋</t>
    <rPh sb="6" eb="11">
      <t>ダイヒョウトリシマリヤク</t>
    </rPh>
    <rPh sb="12" eb="14">
      <t>アリノベ</t>
    </rPh>
    <rPh sb="15" eb="16">
      <t>シュウ</t>
    </rPh>
    <rPh sb="16" eb="17">
      <t>キ</t>
    </rPh>
    <phoneticPr fontId="3"/>
  </si>
  <si>
    <t>常総開発工業株式会社</t>
  </si>
  <si>
    <t>314-0134</t>
  </si>
  <si>
    <t>株式会社三友鋼機大阪営業所</t>
  </si>
  <si>
    <t xml:space="preserve">
茨城県神栖市賀2108-8
</t>
    <phoneticPr fontId="3"/>
  </si>
  <si>
    <t>青田　誠</t>
    <rPh sb="0" eb="2">
      <t>アオタ</t>
    </rPh>
    <rPh sb="3" eb="4">
      <t>マコト</t>
    </rPh>
    <phoneticPr fontId="6"/>
  </si>
  <si>
    <t>作業現場</t>
    <rPh sb="0" eb="4">
      <t>サギョウゲンバ</t>
    </rPh>
    <phoneticPr fontId="3"/>
  </si>
  <si>
    <t>作業依頼者</t>
    <rPh sb="0" eb="2">
      <t>サギョウ</t>
    </rPh>
    <rPh sb="2" eb="5">
      <t>イライシャ</t>
    </rPh>
    <phoneticPr fontId="3"/>
  </si>
  <si>
    <t>aiueo</t>
    <phoneticPr fontId="3"/>
  </si>
  <si>
    <t>23</t>
    <phoneticPr fontId="3"/>
  </si>
  <si>
    <t>株式会社イーシステム　代取締役　谷山　暁進</t>
    <phoneticPr fontId="6"/>
  </si>
  <si>
    <t>大一倉庫㈱</t>
    <phoneticPr fontId="3"/>
  </si>
  <si>
    <t>03-2403-016</t>
    <phoneticPr fontId="6"/>
  </si>
  <si>
    <t>ムツミ商事㈱ 飾磨支店　新社屋新築工事</t>
    <phoneticPr fontId="3"/>
  </si>
  <si>
    <t>ムツミ商事㈱</t>
    <phoneticPr fontId="3"/>
  </si>
  <si>
    <t>玉山成賛</t>
    <phoneticPr fontId="3"/>
  </si>
  <si>
    <t>なし</t>
  </si>
  <si>
    <t>671-1154</t>
    <phoneticPr fontId="3"/>
  </si>
  <si>
    <t>姫路市広畑区吾妻町3丁目ライフガーデン吾妻壱番館515号室</t>
  </si>
  <si>
    <t>ライフガーデン吾妻壱番館515号室</t>
  </si>
  <si>
    <t>玉山成賛</t>
  </si>
  <si>
    <t>畑田洋樹</t>
    <phoneticPr fontId="6"/>
  </si>
  <si>
    <t>医療法人社団　健樹会　ささき整形外科クリニック</t>
    <phoneticPr fontId="3"/>
  </si>
  <si>
    <t>671-1523</t>
    <phoneticPr fontId="3"/>
  </si>
  <si>
    <t>兵庫県揖保郡太子町東南345</t>
    <phoneticPr fontId="3"/>
  </si>
  <si>
    <t>揖保郡太子町東南345</t>
    <phoneticPr fontId="3"/>
  </si>
  <si>
    <t>院長先生</t>
    <phoneticPr fontId="3"/>
  </si>
  <si>
    <t>老人保健施設カノープス姫路</t>
    <rPh sb="0" eb="2">
      <t>ロウジン</t>
    </rPh>
    <rPh sb="2" eb="4">
      <t>ホケン</t>
    </rPh>
    <rPh sb="4" eb="6">
      <t>シセツ</t>
    </rPh>
    <rPh sb="11" eb="13">
      <t>ヒメジ</t>
    </rPh>
    <phoneticPr fontId="3"/>
  </si>
  <si>
    <t>670-0221</t>
  </si>
  <si>
    <t>姫路市別所町別所960-1</t>
    <rPh sb="3" eb="6">
      <t>ベッショチョウ</t>
    </rPh>
    <rPh sb="6" eb="8">
      <t>ベッショ</t>
    </rPh>
    <phoneticPr fontId="3"/>
  </si>
  <si>
    <t>宇野</t>
    <rPh sb="0" eb="2">
      <t>ウノ</t>
    </rPh>
    <phoneticPr fontId="3"/>
  </si>
  <si>
    <t>やぐら保育園分園　レバーハンドル修繕</t>
    <rPh sb="3" eb="6">
      <t>ホイクエン</t>
    </rPh>
    <rPh sb="6" eb="8">
      <t>ブンエン</t>
    </rPh>
    <rPh sb="16" eb="18">
      <t>シュウゼン</t>
    </rPh>
    <phoneticPr fontId="3"/>
  </si>
  <si>
    <t>やぐら保育園</t>
    <phoneticPr fontId="3"/>
  </si>
  <si>
    <t>社会福祉法人　八葉福祉会　やぐら保育園</t>
    <rPh sb="0" eb="6">
      <t>シャカイフクシホウジン</t>
    </rPh>
    <rPh sb="7" eb="8">
      <t>ハチ</t>
    </rPh>
    <rPh sb="8" eb="9">
      <t>ヨウ</t>
    </rPh>
    <rPh sb="9" eb="12">
      <t>フクシカイ</t>
    </rPh>
    <rPh sb="16" eb="19">
      <t>ホイクエン</t>
    </rPh>
    <phoneticPr fontId="3"/>
  </si>
  <si>
    <t>672-8091</t>
    <phoneticPr fontId="3"/>
  </si>
  <si>
    <t>姫路市飾磨区英賀保駅前町82番6</t>
    <phoneticPr fontId="3"/>
  </si>
  <si>
    <t>分園</t>
    <rPh sb="0" eb="2">
      <t>ブンエン</t>
    </rPh>
    <phoneticPr fontId="3"/>
  </si>
  <si>
    <t>金子園長</t>
    <rPh sb="0" eb="2">
      <t>カネコ</t>
    </rPh>
    <rPh sb="2" eb="4">
      <t>エンチョウ</t>
    </rPh>
    <phoneticPr fontId="3"/>
  </si>
  <si>
    <t>石川病院新館6階　東側　出口漏水に伴う内部修繕</t>
    <rPh sb="4" eb="6">
      <t>シンカン</t>
    </rPh>
    <rPh sb="7" eb="8">
      <t>カイ</t>
    </rPh>
    <rPh sb="9" eb="11">
      <t>ヒガシガワ</t>
    </rPh>
    <rPh sb="12" eb="14">
      <t>デグチ</t>
    </rPh>
    <rPh sb="14" eb="16">
      <t>ロウスイ</t>
    </rPh>
    <rPh sb="17" eb="18">
      <t>トモナ</t>
    </rPh>
    <rPh sb="19" eb="21">
      <t>ナイブ</t>
    </rPh>
    <rPh sb="21" eb="23">
      <t>シュウゼン</t>
    </rPh>
    <phoneticPr fontId="3"/>
  </si>
  <si>
    <t>医療法人仁寿会　石川病院</t>
    <rPh sb="0" eb="4">
      <t>イリョウホウジン</t>
    </rPh>
    <rPh sb="4" eb="7">
      <t>ジンジュカイ</t>
    </rPh>
    <rPh sb="8" eb="10">
      <t>イシカワ</t>
    </rPh>
    <rPh sb="10" eb="12">
      <t>ビョウイン</t>
    </rPh>
    <phoneticPr fontId="3"/>
  </si>
  <si>
    <t>671-0221</t>
    <phoneticPr fontId="3"/>
  </si>
  <si>
    <t>姫路市別所町別所２丁目150</t>
    <rPh sb="0" eb="3">
      <t>ヒメジシ</t>
    </rPh>
    <rPh sb="3" eb="6">
      <t>ベッショチョウ</t>
    </rPh>
    <rPh sb="6" eb="8">
      <t>ベッショ</t>
    </rPh>
    <rPh sb="9" eb="11">
      <t>チョウメ</t>
    </rPh>
    <phoneticPr fontId="3"/>
  </si>
  <si>
    <t>石川病院　６階内部</t>
    <rPh sb="0" eb="4">
      <t>イシカワビョウイン</t>
    </rPh>
    <rPh sb="6" eb="7">
      <t>カイ</t>
    </rPh>
    <rPh sb="7" eb="9">
      <t>ナイブ</t>
    </rPh>
    <phoneticPr fontId="3"/>
  </si>
  <si>
    <t>村田</t>
    <phoneticPr fontId="3"/>
  </si>
  <si>
    <t>03-2503-005</t>
  </si>
  <si>
    <t>阿比野建設㈱</t>
    <rPh sb="0" eb="1">
      <t>ア</t>
    </rPh>
    <rPh sb="1" eb="2">
      <t>ヒ</t>
    </rPh>
    <rPh sb="2" eb="3">
      <t>ノ</t>
    </rPh>
    <rPh sb="3" eb="5">
      <t>ケンセツ</t>
    </rPh>
    <phoneticPr fontId="3"/>
  </si>
  <si>
    <t>03-2523-002</t>
  </si>
  <si>
    <t>金額変更あり</t>
  </si>
  <si>
    <t>03-2516-001</t>
  </si>
  <si>
    <t>(株)エーモン</t>
  </si>
  <si>
    <t>井川貴裕</t>
  </si>
  <si>
    <t>赤穂市</t>
  </si>
  <si>
    <t>スチールパネル姫路工場 事務所改修工事</t>
    <phoneticPr fontId="3"/>
  </si>
  <si>
    <t>sss</t>
  </si>
  <si>
    <t>未使用</t>
    <rPh sb="0" eb="3">
      <t>ミシヨウ</t>
    </rPh>
    <phoneticPr fontId="3"/>
  </si>
  <si>
    <t>入力Excelシート</t>
    <rPh sb="0" eb="2">
      <t>ニュウリョク</t>
    </rPh>
    <phoneticPr fontId="6"/>
  </si>
  <si>
    <t>03-2512-002</t>
  </si>
  <si>
    <t>畑田洋樹</t>
    <phoneticPr fontId="3"/>
  </si>
  <si>
    <t>2階待合室　ガラス入替工事</t>
    <phoneticPr fontId="3"/>
  </si>
  <si>
    <t>オアシスデンタルオフィス</t>
    <phoneticPr fontId="3"/>
  </si>
  <si>
    <t>オアシスデンタルオフィス</t>
  </si>
  <si>
    <t>671-1146</t>
    <phoneticPr fontId="3"/>
  </si>
  <si>
    <t>姫路市大津区大津町1-31-109</t>
    <phoneticPr fontId="3"/>
  </si>
  <si>
    <t>岡野様</t>
    <phoneticPr fontId="3"/>
  </si>
  <si>
    <t>見積書</t>
    <phoneticPr fontId="3"/>
  </si>
  <si>
    <t>姫路市大津区大津町1-31-109</t>
  </si>
  <si>
    <t>NSハイパーツ株式会社　鈴村様</t>
  </si>
  <si>
    <t>509-0429</t>
  </si>
  <si>
    <t>阿比野建設　姫路パネル工場</t>
  </si>
  <si>
    <t>NSハイパーツ株式会社　</t>
  </si>
  <si>
    <t>509-0429</t>
    <phoneticPr fontId="3"/>
  </si>
  <si>
    <t>岐阜県可児市姫ヶ丘丁目35</t>
    <phoneticPr fontId="3"/>
  </si>
  <si>
    <t>阿比野建設　姫路パネル工場</t>
    <phoneticPr fontId="3"/>
  </si>
  <si>
    <t>NSハイパーツ株式会社　</t>
    <phoneticPr fontId="3"/>
  </si>
  <si>
    <t>髙見淳也</t>
    <phoneticPr fontId="3"/>
  </si>
  <si>
    <t>NSハイパーツ株式会社　鈴村様</t>
    <phoneticPr fontId="3"/>
  </si>
  <si>
    <t>郵送至急</t>
    <phoneticPr fontId="3"/>
  </si>
  <si>
    <t>新南陽駅事務所外新築工事</t>
    <phoneticPr fontId="3"/>
  </si>
  <si>
    <t>キングフーズ 株式会社</t>
  </si>
  <si>
    <t>676-0008</t>
  </si>
  <si>
    <t>ｷﾝｸﾞﾌｰｽﾞ 株式会社</t>
  </si>
  <si>
    <t>製造部 水野係長</t>
  </si>
  <si>
    <t>キングフーズ 株式会社  管理部 川内様</t>
    <phoneticPr fontId="3"/>
  </si>
  <si>
    <t>無し</t>
  </si>
  <si>
    <t>兵庫県高砂市荒井町新浜2-12-1</t>
    <phoneticPr fontId="3"/>
  </si>
  <si>
    <t>ｷﾝｸﾞﾌｰｽﾞ 株式会社</t>
    <phoneticPr fontId="3"/>
  </si>
  <si>
    <t>岡崎史郎</t>
    <rPh sb="0" eb="2">
      <t>オカザキ</t>
    </rPh>
    <rPh sb="2" eb="4">
      <t>シロウ</t>
    </rPh>
    <phoneticPr fontId="3"/>
  </si>
  <si>
    <t>03-2503-008</t>
  </si>
  <si>
    <t>03-2513-008</t>
  </si>
  <si>
    <t>03-2513-009</t>
  </si>
  <si>
    <t>㈱IHI　</t>
  </si>
  <si>
    <t xml:space="preserve">_x000D_
</t>
  </si>
  <si>
    <t>03-2513-010</t>
  </si>
  <si>
    <t>加茂病院　錠前修理工事</t>
    <phoneticPr fontId="3"/>
  </si>
  <si>
    <t>加茂病院</t>
    <phoneticPr fontId="3"/>
  </si>
  <si>
    <t>◯</t>
    <phoneticPr fontId="3"/>
  </si>
  <si>
    <t xml:space="preserve">_x000D_
</t>
    <phoneticPr fontId="3"/>
  </si>
  <si>
    <t>医療法人　尚生会　加茂病院</t>
  </si>
  <si>
    <t>679-0205</t>
  </si>
  <si>
    <t>加東市北野713</t>
  </si>
  <si>
    <t>加茂病院本館</t>
  </si>
  <si>
    <t>兵庫縣姫路護國神社　宮司　泉　和慶</t>
  </si>
  <si>
    <t>㈱IHI 中央ハウス・旧診療所解体及び残置建物補強工事</t>
    <phoneticPr fontId="3"/>
  </si>
  <si>
    <t>㈱IHI　技建相生　廣田憲治</t>
    <phoneticPr fontId="3"/>
  </si>
  <si>
    <t>671-1116</t>
    <phoneticPr fontId="3"/>
  </si>
  <si>
    <t>670-0012</t>
    <phoneticPr fontId="3"/>
  </si>
  <si>
    <t>姫路市本町118</t>
    <phoneticPr fontId="3"/>
  </si>
  <si>
    <t>兵庫縣姫路護國神社　宮司　泉　和慶</t>
    <phoneticPr fontId="3"/>
  </si>
  <si>
    <t>レイテク</t>
    <phoneticPr fontId="6"/>
  </si>
  <si>
    <t>【テスト】西川絵里</t>
    <rPh sb="5" eb="7">
      <t>ニシカワ</t>
    </rPh>
    <rPh sb="7" eb="9">
      <t>エリ</t>
    </rPh>
    <phoneticPr fontId="6"/>
  </si>
  <si>
    <t>03-2550-001</t>
  </si>
  <si>
    <t>姫路市姫路東消防団 谷内分団詰所改築工事</t>
    <phoneticPr fontId="3"/>
  </si>
  <si>
    <t>㈱福岡建設</t>
    <phoneticPr fontId="3"/>
  </si>
  <si>
    <t>㈱エーモン加古川倉庫改修工事</t>
    <phoneticPr fontId="3"/>
  </si>
  <si>
    <t>03-2514-003</t>
  </si>
  <si>
    <t>梅津眼科　遮熱フィルム貼</t>
  </si>
  <si>
    <t>梅津先生</t>
  </si>
  <si>
    <t>梅津眼科</t>
  </si>
  <si>
    <t>保原詠史</t>
    <phoneticPr fontId="3"/>
  </si>
  <si>
    <t>03-2514-004</t>
  </si>
  <si>
    <t>梅津眼科　2F廊下カーテンレール・カーテン取付</t>
  </si>
  <si>
    <t>03-2512-003</t>
  </si>
  <si>
    <t>青山保育園　ウッドデッキ補修工事</t>
  </si>
  <si>
    <t>青山保育園</t>
  </si>
  <si>
    <t>671-2224</t>
  </si>
  <si>
    <t>姫路市青山西5丁目8-52</t>
  </si>
  <si>
    <t>川尻先生</t>
  </si>
  <si>
    <t>見積書</t>
  </si>
  <si>
    <t>03-2510-005</t>
  </si>
  <si>
    <t>姫路市立書写中学校外1校屋内運動場空調設備設置工事</t>
    <phoneticPr fontId="3"/>
  </si>
  <si>
    <t>金額は決定次第連絡あり</t>
    <phoneticPr fontId="3"/>
  </si>
  <si>
    <t>03-2503-009</t>
  </si>
  <si>
    <t>依頼NO</t>
    <rPh sb="0" eb="2">
      <t>イライ</t>
    </rPh>
    <phoneticPr fontId="6"/>
  </si>
  <si>
    <t>請求書番号（経理用）</t>
  </si>
  <si>
    <t>発行日</t>
    <rPh sb="0" eb="3">
      <t>ハッコウビ</t>
    </rPh>
    <phoneticPr fontId="6"/>
  </si>
  <si>
    <t>1:担当者</t>
    <phoneticPr fontId="6"/>
  </si>
  <si>
    <t>2:工事番号</t>
  </si>
  <si>
    <t>3:工事名称</t>
  </si>
  <si>
    <t>6:工期　着手</t>
  </si>
  <si>
    <t>7:工期　完成</t>
  </si>
  <si>
    <t>8:請負金額</t>
    <phoneticPr fontId="6"/>
  </si>
  <si>
    <t>13:依頼書作成日</t>
    <rPh sb="3" eb="6">
      <t>イライショ</t>
    </rPh>
    <rPh sb="6" eb="9">
      <t>サクセイビ</t>
    </rPh>
    <phoneticPr fontId="6"/>
  </si>
  <si>
    <t>15:提出要項(その他)</t>
    <rPh sb="10" eb="11">
      <t>ホカ</t>
    </rPh>
    <phoneticPr fontId="7"/>
  </si>
  <si>
    <t>16:同封物</t>
    <phoneticPr fontId="7"/>
  </si>
  <si>
    <t>17:提出日付</t>
    <phoneticPr fontId="7"/>
  </si>
  <si>
    <t>20:請求書記載文言</t>
    <phoneticPr fontId="7"/>
  </si>
  <si>
    <t>21:担当者引継ぎコメント</t>
    <rPh sb="3" eb="6">
      <t>タントウシャ</t>
    </rPh>
    <rPh sb="6" eb="8">
      <t>ヒキツ</t>
    </rPh>
    <phoneticPr fontId="7"/>
  </si>
  <si>
    <t>22:領収書注意文</t>
    <phoneticPr fontId="7"/>
  </si>
  <si>
    <t>23:振込手数料注意文</t>
    <phoneticPr fontId="7"/>
  </si>
  <si>
    <t>24:但陽信金口座指定</t>
    <phoneticPr fontId="7"/>
  </si>
  <si>
    <t>操作履歴</t>
    <rPh sb="0" eb="2">
      <t>ソウサ</t>
    </rPh>
    <rPh sb="2" eb="4">
      <t>リレキ</t>
    </rPh>
    <phoneticPr fontId="7"/>
  </si>
  <si>
    <t>経理メモ</t>
    <rPh sb="0" eb="2">
      <t>ケイリ</t>
    </rPh>
    <phoneticPr fontId="7"/>
  </si>
  <si>
    <t>03-2509-028</t>
  </si>
  <si>
    <t>小林電工新社屋　軒天修繕工事</t>
  </si>
  <si>
    <t>山崎運送株式会社　吉村　様</t>
  </si>
  <si>
    <t>山崎運送株式会社</t>
  </si>
  <si>
    <t>671-0244</t>
  </si>
  <si>
    <t>兵庫県姫路市四郷町見野５１１−８</t>
  </si>
  <si>
    <t>工事写真の同封お願いします。</t>
  </si>
  <si>
    <t>有</t>
  </si>
  <si>
    <t>【凡例】</t>
  </si>
  <si>
    <t>セル/列の例</t>
  </si>
  <si>
    <t>F5</t>
  </si>
  <si>
    <t>F列5行目を指す（フル番地）</t>
  </si>
  <si>
    <t>F</t>
  </si>
  <si>
    <t>列文字だけ（明細5行で使用、行は自動計算）</t>
  </si>
  <si>
    <t>行番号だけ（明細開始行で使用）</t>
  </si>
  <si>
    <t>項目名</t>
  </si>
  <si>
    <t>セル/列</t>
  </si>
  <si>
    <t>メモ・注意事項</t>
  </si>
  <si>
    <t>【ヘッダー部】</t>
  </si>
  <si>
    <t>依頼書の上部に表示される情報</t>
  </si>
  <si>
    <t>依頼NO</t>
  </si>
  <si>
    <t>R1</t>
  </si>
  <si>
    <t>右上に表示される依頼番号。マクロが自動採番（0301, 0302...）して書き込みます</t>
  </si>
  <si>
    <t>請求宛名</t>
  </si>
  <si>
    <t>請求書の宛名（正式名称）。フォームの「請求宛名」欄から転記</t>
  </si>
  <si>
    <t>郵送先住所</t>
  </si>
  <si>
    <t>F6</t>
  </si>
  <si>
    <t>郵便番号と住所を結合して書き込み。例「〒123-4567 ○○市××町」</t>
  </si>
  <si>
    <t>請求金額(税込)</t>
  </si>
  <si>
    <t>税込み合計金額（数値）。「税込み」ボタンや明細5行から自動計算</t>
  </si>
  <si>
    <t>消費税テキスト</t>
  </si>
  <si>
    <t>「（ 内 消費税 10% xxx円 ）」のテキストを書き込みます</t>
  </si>
  <si>
    <t>工事名称</t>
  </si>
  <si>
    <t>F8</t>
  </si>
  <si>
    <t>工事番号</t>
  </si>
  <si>
    <t>Q8</t>
  </si>
  <si>
    <t>03-2503-001 のような形式</t>
  </si>
  <si>
    <t>提出要項</t>
  </si>
  <si>
    <t>F10</t>
  </si>
  <si>
    <t>「普通郵便」「速達」「依頼者に返送」「その他」のいずれかが入る</t>
  </si>
  <si>
    <t>同封物</t>
  </si>
  <si>
    <t>F11</t>
  </si>
  <si>
    <t>「見積書」「工事写真」「工事完了届」「その他+自由文」のいずれか</t>
  </si>
  <si>
    <t>【日付部（行12）】</t>
  </si>
  <si>
    <t>工期や日付を表示する行</t>
  </si>
  <si>
    <t>着手</t>
  </si>
  <si>
    <t>H12</t>
  </si>
  <si>
    <t>工期着手日（日付形式）</t>
  </si>
  <si>
    <t>完成</t>
  </si>
  <si>
    <t>L12</t>
  </si>
  <si>
    <t>工期完成日（日付形式）</t>
  </si>
  <si>
    <t>引渡日</t>
  </si>
  <si>
    <t>O12</t>
  </si>
  <si>
    <t>日付形式</t>
  </si>
  <si>
    <t>請求書日付</t>
  </si>
  <si>
    <t>R12</t>
  </si>
  <si>
    <t>提出日付（日付形式）</t>
  </si>
  <si>
    <t>【明細5行】</t>
  </si>
  <si>
    <t>名称・数量・単位・金額が並ぶ部分。5行分まで対応</t>
  </si>
  <si>
    <t>明細開始行</t>
  </si>
  <si>
    <t>★ 明細1行目の行番号。ここを変えると2〜5行目も自動でずれます</t>
  </si>
  <si>
    <t>名称列</t>
  </si>
  <si>
    <t>列文字だけ（行は明細開始行から自動計算）</t>
  </si>
  <si>
    <t>数量列</t>
  </si>
  <si>
    <t>N</t>
  </si>
  <si>
    <t>同上</t>
  </si>
  <si>
    <t>単位列</t>
  </si>
  <si>
    <t>P</t>
  </si>
  <si>
    <t>単価列</t>
  </si>
  <si>
    <t>Q</t>
  </si>
  <si>
    <t>金額列</t>
  </si>
  <si>
    <t>R</t>
  </si>
  <si>
    <t>【合計部】</t>
  </si>
  <si>
    <t>小計・消費税の表示位置（明細開始行から自動計算）</t>
  </si>
  <si>
    <t>小計列</t>
  </si>
  <si>
    <t>列文字だけ。行は「明細開始行 + 明細行数(=5) = 19行目」と自動計算</t>
  </si>
  <si>
    <t>消費税列</t>
  </si>
  <si>
    <t>列文字だけ。行は「小計の次の行 = 20行目」と自動計算</t>
  </si>
  <si>
    <t>【フッター部】</t>
  </si>
  <si>
    <t>下部の情報</t>
  </si>
  <si>
    <t>引継ぎコメント</t>
  </si>
  <si>
    <t>F21</t>
  </si>
  <si>
    <t>フォームの「引継ぎコメント」欄をそのまま転記</t>
  </si>
  <si>
    <t>作成日(年)</t>
  </si>
  <si>
    <t>B28</t>
  </si>
  <si>
    <t>作成日の「年」だけ（数値）。例: 2026</t>
  </si>
  <si>
    <t>作成日(月)</t>
  </si>
  <si>
    <t>E28</t>
  </si>
  <si>
    <t>作成日の「月」だけ（数値）。例: 4</t>
  </si>
  <si>
    <t>作成日(日)</t>
  </si>
  <si>
    <t>I28</t>
  </si>
  <si>
    <t>作成日の「日」だけ（数値）。例: 13</t>
  </si>
  <si>
    <t>担当者名</t>
  </si>
  <si>
    <t>Q31</t>
  </si>
  <si>
    <t>フォームの「担当者」欄を転記</t>
  </si>
  <si>
    <t>⚠ 編集時の注意事項</t>
  </si>
  <si>
    <t>① 項目名（A列）は変更しないでください</t>
  </si>
  <si>
    <t>VBAコードと連動しているため、項目名を変えると動かなくなります。</t>
  </si>
  <si>
    <t>② B列のセル番地だけ編集してください</t>
  </si>
  <si>
    <t>請求書のレイアウトを変えた時は、対応するB列のセル番地を更新します。</t>
  </si>
  <si>
    <t>③ 明細開始行を変えた時の影響</t>
  </si>
  <si>
    <t>明細5行・小計・消費税の位置は自動で連動します。明細開始行=16にすると、小計=R21、消費税=R22 に自動でずれます。</t>
  </si>
  <si>
    <t>④ 単一セル（F5など）と列文字（Fなど）の違い</t>
  </si>
  <si>
    <t>「F5」のようにフル番地で書く欄と、「F」のように列文字だけ書く欄があります。明細5行と小計・消費税は列文字だけ、それ以外はフル番地です。</t>
  </si>
  <si>
    <t>⑤ 行を追加・削除しないでください</t>
  </si>
  <si>
    <t>VBAは項目名で検索しているので、行の順番は変えてもOKですが、行自体を消すと該当項目の書き込みが効かなくなります。</t>
  </si>
  <si>
    <t>⑥ 変更後のチェック</t>
  </si>
  <si>
    <t>依頼書作成ボタンで実際に作成し、各セルに正しく値が入るか確認してください。</t>
  </si>
  <si>
    <t>💡 こんな時はどうする？</t>
  </si>
  <si>
    <t>Q. 明細を1行追加したい（5行→6行）</t>
  </si>
  <si>
    <t>A. VBA側に5行分のテキストボックスがあるので、6行目はフォームの改修が必要です。マクロ担当者に依頼してください。</t>
  </si>
  <si>
    <t>Q. 依頼書のフォーマットを大きく変えた</t>
  </si>
  <si>
    <t>A. B列のセル番地を実際の位置に合わせて編集 → 依頼書作成ボタンでテストしてください。</t>
  </si>
  <si>
    <t>Q. 項目名を増やしたい</t>
  </si>
  <si>
    <t>A. A列・B列・C列を埋めて行を追加。さらにVBA側で書き込みコードの追加が必要です。</t>
  </si>
  <si>
    <t>Q. 元に戻したい</t>
  </si>
  <si>
    <t>A. このシートを再度受け取って入れ替えてください。バックアップを取ってから編集することを推奨。</t>
  </si>
  <si>
    <t>◆ 請求書提出依頼書 セル設定シート</t>
  </si>
  <si>
    <t>請求書提出依頼書のレイアウトを変更したら、このシートの「セル/列」列を編集してください。</t>
  </si>
  <si>
    <t>工事写真</t>
  </si>
  <si>
    <t>畑田洋樹</t>
    <rPh sb="0" eb="2">
      <t>ハタダ</t>
    </rPh>
    <rPh sb="2" eb="4">
      <t>ヒロキ</t>
    </rPh>
    <phoneticPr fontId="30"/>
  </si>
  <si>
    <t>赤穂市</t>
    <rPh sb="0" eb="3">
      <t>アコウシ</t>
    </rPh>
    <phoneticPr fontId="31"/>
  </si>
  <si>
    <t>保原詠史</t>
    <phoneticPr fontId="30"/>
  </si>
  <si>
    <r>
      <rPr>
        <b/>
        <sz val="12"/>
        <color rgb="FFFF0000"/>
        <rFont val="Meiryo UI"/>
        <family val="3"/>
        <charset val="128"/>
      </rPr>
      <t>03-2501-110</t>
    </r>
    <r>
      <rPr>
        <b/>
        <sz val="12"/>
        <rFont val="Meiryo UI"/>
        <family val="3"/>
        <charset val="128"/>
      </rPr>
      <t xml:space="preserve">：入金なし（手直し・一年点検等）
</t>
    </r>
    <r>
      <rPr>
        <b/>
        <sz val="12"/>
        <color rgb="FF000000"/>
        <rFont val="Meiryo UI"/>
        <family val="3"/>
        <charset val="128"/>
      </rPr>
      <t>※　但し、高見部長の承認が必要となります。</t>
    </r>
    <rPh sb="12" eb="14">
      <t>ニュウキン</t>
    </rPh>
    <rPh sb="17" eb="19">
      <t>テナオ</t>
    </rPh>
    <rPh sb="21" eb="23">
      <t>イチネン</t>
    </rPh>
    <rPh sb="23" eb="25">
      <t>テンケン</t>
    </rPh>
    <rPh sb="25" eb="26">
      <t>トウ</t>
    </rPh>
    <rPh sb="30" eb="31">
      <t>タダ</t>
    </rPh>
    <rPh sb="33" eb="37">
      <t>タカミブチョウ</t>
    </rPh>
    <rPh sb="38" eb="40">
      <t>ショウニン</t>
    </rPh>
    <rPh sb="41" eb="43">
      <t>ヒツヨウ</t>
    </rPh>
    <phoneticPr fontId="6"/>
  </si>
  <si>
    <t>(仮称)日鉄テックスエンジ株式会社堺構内統合事務所新築工事</t>
  </si>
  <si>
    <t>建築分　　222,673,000円(税込み)
構内分　　　30,173,000円(税込み)
NO.580、2/2　竣工式に伴う費用他　1,162,500-</t>
    <phoneticPr fontId="3"/>
  </si>
  <si>
    <t>姫路市姫路東消防団 谷内分団詰所改築工事（設計費）</t>
    <phoneticPr fontId="6"/>
  </si>
  <si>
    <t>播州調味料㈱ 排水処理設備 建設工事</t>
    <phoneticPr fontId="6"/>
  </si>
  <si>
    <t>Bill one で請求
6/30  62,800,000(6月出来高)
8/05  　8,350,000(７月出来高)
9/5 追加</t>
    <phoneticPr fontId="3"/>
  </si>
  <si>
    <t>NO.586、2/3、中間金　230,000,000-</t>
    <phoneticPr fontId="3"/>
  </si>
  <si>
    <t>Bill one で請求</t>
    <phoneticPr fontId="3"/>
  </si>
  <si>
    <t>岐阜県可児市姫ヶ丘丁目35　鈴村様</t>
    <phoneticPr fontId="3"/>
  </si>
  <si>
    <t>Bill one で請求_x000D_
08/05 42,600,000(７月出来高)_x000D_
09/05 24,850,000（8月出来高）　_x000D_
10/01   3,550,000（9月出来高）_x000D_
100％完了_x000D_
10/01追加工事　320,000-</t>
    <phoneticPr fontId="3"/>
  </si>
  <si>
    <t>3/24.3/31</t>
    <phoneticPr fontId="3"/>
  </si>
  <si>
    <t>【税抜き金額です！】
日鉄建材　浄化槽更新工事　114,000,000★
【内訳】
構内　83,000,000
建築　31,000,000★●　no.03-2503-001
建築の浄化槽更新工事　23,000,000★●
★は2025年度工事
●5,400,000が建築工事</t>
    <rPh sb="20" eb="24">
      <t>コウシンコウジ</t>
    </rPh>
    <phoneticPr fontId="3"/>
  </si>
  <si>
    <t>日鉄建材㈱広畑製造所　事務所増築工事（新設工事・解体工事）</t>
    <phoneticPr fontId="6"/>
  </si>
  <si>
    <t>日鉄建材㈱</t>
    <phoneticPr fontId="6"/>
  </si>
  <si>
    <t>※既設事務所148,000,000は今後工事番号取る
NO.711、3/28、25,000,000</t>
    <rPh sb="1" eb="6">
      <t>キセツジムショ</t>
    </rPh>
    <rPh sb="18" eb="24">
      <t>コンゴコウジバンゴウ</t>
    </rPh>
    <rPh sb="24" eb="25">
      <t>ト</t>
    </rPh>
    <phoneticPr fontId="3"/>
  </si>
  <si>
    <t>12/25　浄化槽更新工事撤去工事￥11,500,000-入江さん請求</t>
    <rPh sb="6" eb="9">
      <t>ジョウカソウ</t>
    </rPh>
    <rPh sb="9" eb="13">
      <t>コウシンコウジ</t>
    </rPh>
    <rPh sb="13" eb="17">
      <t>テッキョコウジ</t>
    </rPh>
    <rPh sb="29" eb="31">
      <t>イリエ</t>
    </rPh>
    <rPh sb="33" eb="35">
      <t>セイキュウ</t>
    </rPh>
    <phoneticPr fontId="3"/>
  </si>
  <si>
    <t>高見常務確認</t>
    <rPh sb="0" eb="2">
      <t>タカミ</t>
    </rPh>
    <rPh sb="2" eb="4">
      <t>ジョウム</t>
    </rPh>
    <rPh sb="4" eb="6">
      <t>カクニン</t>
    </rPh>
    <phoneticPr fontId="3"/>
  </si>
  <si>
    <t>NO.581、2/3、中間金　439,000,000-</t>
    <phoneticPr fontId="3"/>
  </si>
  <si>
    <t>持参　信國社長へ</t>
    <phoneticPr fontId="3"/>
  </si>
  <si>
    <t>信國社長が請求書提出依頼書作成_x000D_
8/18契約書に基づく中間時ご請求　10000000_x000D_
10/31契約書に基づく竣工時ご請求　23280500</t>
    <phoneticPr fontId="3"/>
  </si>
  <si>
    <t>東芝エレベータ㈱姫路工場　部品センター改修工事【１期工事】</t>
    <phoneticPr fontId="6"/>
  </si>
  <si>
    <t>工事は11/1～</t>
    <phoneticPr fontId="6"/>
  </si>
  <si>
    <t>●</t>
    <phoneticPr fontId="3"/>
  </si>
  <si>
    <t>●</t>
  </si>
  <si>
    <t>'済</t>
  </si>
  <si>
    <t>ファインレジデンス神戸新長田２年定期点検検査・補修工事</t>
    <phoneticPr fontId="6"/>
  </si>
  <si>
    <t>大林組</t>
    <phoneticPr fontId="6"/>
  </si>
  <si>
    <t>△</t>
    <phoneticPr fontId="3"/>
  </si>
  <si>
    <t>雑工事計算外の為△</t>
    <phoneticPr fontId="3"/>
  </si>
  <si>
    <t>03-2503-004</t>
    <phoneticPr fontId="3"/>
  </si>
  <si>
    <t>Bill one で請求
9/5追加分　174,000-</t>
    <phoneticPr fontId="3"/>
  </si>
  <si>
    <t>03-2503-006</t>
    <phoneticPr fontId="3"/>
  </si>
  <si>
    <t>03-2503-007</t>
    <phoneticPr fontId="3"/>
  </si>
  <si>
    <t>姫路市姫路西消防団太市分団詰所改築工事</t>
    <phoneticPr fontId="3"/>
  </si>
  <si>
    <t>近藤正和</t>
    <phoneticPr fontId="3"/>
  </si>
  <si>
    <t>キングフーズ㈱焙煎室壁補修工事</t>
    <phoneticPr fontId="3"/>
  </si>
  <si>
    <t>キングフーズ㈱</t>
    <phoneticPr fontId="3"/>
  </si>
  <si>
    <t>650,000から金額変更</t>
    <phoneticPr fontId="3"/>
  </si>
  <si>
    <t xml:space="preserve">キングフーズ 株式会社  </t>
  </si>
  <si>
    <t>兵庫県高砂市荒井町新浜2-12-1　管理部 川内様</t>
  </si>
  <si>
    <t>青田　誠</t>
  </si>
  <si>
    <t>03-2515-002</t>
    <phoneticPr fontId="3"/>
  </si>
  <si>
    <t>赤穂市新学校給食センター整備事業　事務備品調達</t>
    <phoneticPr fontId="3"/>
  </si>
  <si>
    <t>㈱IHI　ＩＡ開発試験場法面整備工事R1（給水管切回し）</t>
    <phoneticPr fontId="3"/>
  </si>
  <si>
    <t>梅津眼科　</t>
    <phoneticPr fontId="3"/>
  </si>
  <si>
    <t>姫路市広畑区正門通2-8-4　院長　梅津秀夫　様</t>
    <phoneticPr fontId="3"/>
  </si>
  <si>
    <t>梅津眼科</t>
    <phoneticPr fontId="3"/>
  </si>
  <si>
    <t>院長　梅津秀夫</t>
    <phoneticPr fontId="3"/>
  </si>
  <si>
    <t>梅津先生</t>
    <phoneticPr fontId="3"/>
  </si>
  <si>
    <t>姫路市広畑区正門通2-8-4　院長　梅津秀夫様</t>
    <phoneticPr fontId="3"/>
  </si>
  <si>
    <t>ムツミ商事株式会社</t>
  </si>
  <si>
    <t>671-2222</t>
  </si>
  <si>
    <t>姫路市青山4丁目24番8号</t>
  </si>
  <si>
    <t>姫路市立書写中学校 曽佐小学校 敷地内</t>
  </si>
  <si>
    <t>ムツミ商事㈱　柴田さん</t>
  </si>
  <si>
    <t>03-2509-004</t>
  </si>
  <si>
    <t>特別養護老人ホームときわ　厨房洗浄室巾木補修（２回目）</t>
  </si>
  <si>
    <t>特別養護老人ホーム　ときわ</t>
  </si>
  <si>
    <t>特になし</t>
  </si>
  <si>
    <t>社会福祉法人洗心会 特別養護老人ホームときわ 松岡施設長</t>
  </si>
  <si>
    <t>651-2109</t>
  </si>
  <si>
    <t>兵庫県神戸市西区前開南町2丁目1番12号</t>
  </si>
  <si>
    <t>松岡施設長</t>
  </si>
  <si>
    <t>03-2509-005</t>
  </si>
  <si>
    <t>小林電工株式会社　３階壁改修工事</t>
  </si>
  <si>
    <t>小林電工株式会社　小林会長</t>
  </si>
  <si>
    <t>特になし</t>
    <phoneticPr fontId="3"/>
  </si>
  <si>
    <t>小林電工株式会社　</t>
    <phoneticPr fontId="3"/>
  </si>
  <si>
    <t>670-0056</t>
    <phoneticPr fontId="3"/>
  </si>
  <si>
    <t>姫路市東今宿3-10-17　取締役会長      小林　義昭　様</t>
    <phoneticPr fontId="3"/>
  </si>
  <si>
    <t>同上</t>
    <phoneticPr fontId="3"/>
  </si>
  <si>
    <t>小林義昭　会長</t>
    <phoneticPr fontId="3"/>
  </si>
  <si>
    <t>シャッターリモコン調整含む</t>
    <phoneticPr fontId="3"/>
  </si>
  <si>
    <t>03-2513-011</t>
    <phoneticPr fontId="3"/>
  </si>
  <si>
    <t>㈱IHI　ＩＡタンクローリー法面整備工事</t>
    <phoneticPr fontId="3"/>
  </si>
  <si>
    <t>㈱IHI</t>
    <phoneticPr fontId="3"/>
  </si>
  <si>
    <t>技建相生 担当：廣田　憲治</t>
    <phoneticPr fontId="3"/>
  </si>
  <si>
    <t>03-2514-005</t>
    <phoneticPr fontId="3"/>
  </si>
  <si>
    <t>(仮称)認知症高齢者グループホームはなみずき新築工事</t>
    <phoneticPr fontId="3"/>
  </si>
  <si>
    <t>社会福祉法人洗心会　理事長　池田　省平</t>
    <phoneticPr fontId="3"/>
  </si>
  <si>
    <t xml:space="preserve">
DigitalBillder登録について確認
</t>
    <rPh sb="15" eb="17">
      <t>トウロク</t>
    </rPh>
    <rPh sb="21" eb="23">
      <t>カクニン</t>
    </rPh>
    <phoneticPr fontId="3"/>
  </si>
  <si>
    <t>青田　誠</t>
    <phoneticPr fontId="3"/>
  </si>
  <si>
    <t>03-2516-002</t>
    <phoneticPr fontId="3"/>
  </si>
  <si>
    <t>播州調味料㈱　脱塩第2工場新築工事</t>
    <phoneticPr fontId="3"/>
  </si>
  <si>
    <t>播州調味料㈱代表取締役社長　中川善弘</t>
    <phoneticPr fontId="3"/>
  </si>
  <si>
    <t>03-2509-006</t>
  </si>
  <si>
    <t>石川病院　新館5階　リハビリスタッフ室　鍵交換</t>
    <phoneticPr fontId="3"/>
  </si>
  <si>
    <t>石川病院</t>
    <phoneticPr fontId="3"/>
  </si>
  <si>
    <t>医療法人仁寿会　石川病院　</t>
  </si>
  <si>
    <t>671-0221</t>
  </si>
  <si>
    <t>姫路市別所町別所2丁目150番地</t>
  </si>
  <si>
    <t>石川病院　新館</t>
  </si>
  <si>
    <t>村田　様</t>
  </si>
  <si>
    <t>03-2513-012</t>
  </si>
  <si>
    <t>ニッケあすも加古川　117号室　補修工事</t>
    <phoneticPr fontId="3"/>
  </si>
  <si>
    <t>ニッケあすも加古川　117号室　小西文子様</t>
    <phoneticPr fontId="3"/>
  </si>
  <si>
    <t>ニッケあすも加古川117号室　小西　文子様　</t>
    <phoneticPr fontId="3"/>
  </si>
  <si>
    <t>加古川市加古川町本町239-1㈱　ニッケ・ケアサービス宛て</t>
    <phoneticPr fontId="3"/>
  </si>
  <si>
    <t>領収書　ニッケあすも加古川117号室　小西　文子様　宛てで作成お願いします</t>
    <phoneticPr fontId="3"/>
  </si>
  <si>
    <t>阿比野建設　広畑構内事業所新築工事</t>
    <phoneticPr fontId="3"/>
  </si>
  <si>
    <t>阿比野建設㈱</t>
    <phoneticPr fontId="3"/>
  </si>
  <si>
    <t>03-2503-010</t>
    <phoneticPr fontId="3"/>
  </si>
  <si>
    <t>中尾調剤薬局飾磨支店 新築工事</t>
    <phoneticPr fontId="3"/>
  </si>
  <si>
    <t>中尾調剤薬局</t>
    <phoneticPr fontId="3"/>
  </si>
  <si>
    <t>NO.590、2/6、完了金　31,539,000-</t>
    <phoneticPr fontId="3"/>
  </si>
  <si>
    <t>猪澤和喜</t>
    <phoneticPr fontId="3"/>
  </si>
  <si>
    <t>03-2508-003</t>
  </si>
  <si>
    <t>サンスマイル北野　補給水用電動弁取替工事</t>
    <phoneticPr fontId="3"/>
  </si>
  <si>
    <t>医療法人財団春日野会理事長草野泰子</t>
    <phoneticPr fontId="3"/>
  </si>
  <si>
    <t>医療法人財団春日野会サンスマイル北野</t>
    <phoneticPr fontId="3"/>
  </si>
  <si>
    <t>679-0205</t>
    <phoneticPr fontId="3"/>
  </si>
  <si>
    <t>兵庫県加東市北野55番地1.2　藤川事務長宛　</t>
    <phoneticPr fontId="3"/>
  </si>
  <si>
    <t>兵庫県加東市北野55番地1.2　</t>
    <phoneticPr fontId="3"/>
  </si>
  <si>
    <t>サンスマイル北野 藤川事務長宛　</t>
    <phoneticPr fontId="3"/>
  </si>
  <si>
    <t>03-2509-007</t>
  </si>
  <si>
    <t>石川邸　パラソル設置</t>
  </si>
  <si>
    <t>石川　智基　様</t>
  </si>
  <si>
    <t>石川智基様</t>
  </si>
  <si>
    <t>姫路市別所町別所　石川智基様</t>
  </si>
  <si>
    <t>石川智基 奥様</t>
  </si>
  <si>
    <t>9/16作成済</t>
  </si>
  <si>
    <t>03-2514-006</t>
  </si>
  <si>
    <t>梅津眼科　間仕切りカーテン+カーテンレール取付</t>
  </si>
  <si>
    <t>梅津秀夫　院長</t>
    <phoneticPr fontId="3"/>
  </si>
  <si>
    <t>03-2514-007</t>
  </si>
  <si>
    <t>福伸電機株式会社清明寮　寮室フローリング貼替306．309号室</t>
  </si>
  <si>
    <t>福伸電機株式会社</t>
  </si>
  <si>
    <t>今回はメールで送付</t>
    <phoneticPr fontId="3"/>
  </si>
  <si>
    <t>福伸電機株式会社</t>
    <phoneticPr fontId="3"/>
  </si>
  <si>
    <t>679-2288</t>
    <phoneticPr fontId="3"/>
  </si>
  <si>
    <t>兵庫県神崎郡福崎町福田447-1　担当者：南 様</t>
    <phoneticPr fontId="3"/>
  </si>
  <si>
    <t>清明寮</t>
    <phoneticPr fontId="3"/>
  </si>
  <si>
    <t>福伸電機株式会社　南 様</t>
    <phoneticPr fontId="3"/>
  </si>
  <si>
    <t>井川貴裕</t>
    <phoneticPr fontId="3"/>
  </si>
  <si>
    <t>03-2515-003</t>
  </si>
  <si>
    <t>本田冷蔵㈱関連工事</t>
    <phoneticPr fontId="3"/>
  </si>
  <si>
    <t>本田冷蔵</t>
    <phoneticPr fontId="3"/>
  </si>
  <si>
    <t>本田冷蔵㈱太子工場　</t>
    <phoneticPr fontId="3"/>
  </si>
  <si>
    <t>671-1532</t>
    <phoneticPr fontId="3"/>
  </si>
  <si>
    <t>兵庫県揖保郡太子町糸井318　</t>
    <phoneticPr fontId="3"/>
  </si>
  <si>
    <t>兵庫県揖保郡太子町糸井318</t>
    <phoneticPr fontId="3"/>
  </si>
  <si>
    <t>代表取締役社長　本田 明良</t>
    <phoneticPr fontId="3"/>
  </si>
  <si>
    <t xml:space="preserve">1/13_x000D_
本田昭子さん　￥700,000-(税抜き)　_x000D_
工期：12/15～12/26_x000D_
・工事名「網干造成地　重力式擁壁工事」_x000D_
・「本田昭子」様で請求書作成して下さい_x000D_
・「本田昭子」様より入金があります_x000D_
_x000D_
4/8_x000D_
本田冷蔵㈱擁壁・側溝敷設工事　￥5,300,000-		_x000D_
本田冷蔵㈱太子工場第二冷蔵倉庫北側舗装工事　￥7,500,000-				_x000D_
本田冷蔵㈱太子工場クレーン修理に伴うレッカー配置及び内部養生工事　￥800,000-				_x000D_
本田冷蔵㈱姫路工場　アスベスト調査工事　￥400,000-_x000D_
合計　￥14,000,000-(税抜き)		_x000D_
_x000D_
</t>
    <phoneticPr fontId="3"/>
  </si>
  <si>
    <t>03-2509-008</t>
  </si>
  <si>
    <t>石川病院　寮　シリンダー交換工事</t>
  </si>
  <si>
    <t>医療法人仁寿会　石川病院</t>
  </si>
  <si>
    <t>医療法人仁寿会　石川病院</t>
    <phoneticPr fontId="3"/>
  </si>
  <si>
    <t>姫路市別所町別所2丁目150番地</t>
    <phoneticPr fontId="3"/>
  </si>
  <si>
    <t>石川病院　寮</t>
    <phoneticPr fontId="3"/>
  </si>
  <si>
    <t>田中　様</t>
    <phoneticPr fontId="3"/>
  </si>
  <si>
    <t>03-2509-009</t>
  </si>
  <si>
    <t>やぐら保育園　排煙オペレーター修理工事</t>
  </si>
  <si>
    <t>社会福祉法人　八葉福祉会　やぐら保育園　金子園長　様</t>
  </si>
  <si>
    <t>手渡し　営業へ</t>
    <phoneticPr fontId="3"/>
  </si>
  <si>
    <t>やぐら保育園　金子園長　様</t>
    <phoneticPr fontId="3"/>
  </si>
  <si>
    <t>姫路市飾磨区英賀保駅前町82-6</t>
    <phoneticPr fontId="3"/>
  </si>
  <si>
    <t>やぐら保育園　1階</t>
    <phoneticPr fontId="3"/>
  </si>
  <si>
    <t>金子園長　様</t>
    <phoneticPr fontId="3"/>
  </si>
  <si>
    <t>営業担当　大久保さんへ渡してください</t>
    <phoneticPr fontId="3"/>
  </si>
  <si>
    <t>03-2513-013</t>
  </si>
  <si>
    <t>㈱IHI　赤レンガ倉庫補修工事</t>
  </si>
  <si>
    <t>㈱IHI</t>
  </si>
  <si>
    <t>03-2508-004</t>
  </si>
  <si>
    <t>リビオ西宮門戸6F共用廊下雨仕舞対策工事</t>
  </si>
  <si>
    <t>日鉄興和不動産㈱</t>
  </si>
  <si>
    <t>日鉄興和不動産株式会社</t>
  </si>
  <si>
    <t>リビオ西宮門戸</t>
  </si>
  <si>
    <t>営業　入江さんが持参</t>
  </si>
  <si>
    <t>03-2514-008</t>
  </si>
  <si>
    <t>パーム今泉新館オーバーフロー管増設工事</t>
  </si>
  <si>
    <t>井上様</t>
  </si>
  <si>
    <t>639-0264</t>
    <phoneticPr fontId="3"/>
  </si>
  <si>
    <t>奈良県香芝市今泉716</t>
    <phoneticPr fontId="3"/>
  </si>
  <si>
    <t>パーム今泉新館</t>
    <phoneticPr fontId="3"/>
  </si>
  <si>
    <t>井上様</t>
    <phoneticPr fontId="3"/>
  </si>
  <si>
    <t>信國社長が請求_x000D_
個人へ請求。井上さんはパーム今泉のオーナー</t>
    <phoneticPr fontId="3"/>
  </si>
  <si>
    <t>03-2513-014</t>
  </si>
  <si>
    <t>㈱IHI　IMM新工場計画に向けた各種調査業務IMM新工場計画に向けた各種調査業務のうちボーリング調査R1</t>
    <phoneticPr fontId="3"/>
  </si>
  <si>
    <t>03-2516-003</t>
  </si>
  <si>
    <t>播州調味料 浄化水室 屋根・壁塗装工事</t>
    <rPh sb="11" eb="13">
      <t>ヤネ</t>
    </rPh>
    <rPh sb="14" eb="15">
      <t>カベ</t>
    </rPh>
    <rPh sb="15" eb="19">
      <t>トソウコウジ</t>
    </rPh>
    <phoneticPr fontId="3"/>
  </si>
  <si>
    <t>播州調味料㈱</t>
    <phoneticPr fontId="3"/>
  </si>
  <si>
    <t>03-2516-004</t>
  </si>
  <si>
    <t>播州調味料 境界擁壁更新工事</t>
    <phoneticPr fontId="3"/>
  </si>
  <si>
    <t>03-2513-015</t>
    <phoneticPr fontId="3"/>
  </si>
  <si>
    <t>㈱IHI　相生事業所_管理者不明残置物撤去処分 アスベスト調査</t>
    <rPh sb="29" eb="31">
      <t>チョウサ</t>
    </rPh>
    <phoneticPr fontId="3"/>
  </si>
  <si>
    <t>03-2503-011</t>
    <phoneticPr fontId="3"/>
  </si>
  <si>
    <t>産業振興㈱北九州ヤード事務所新築工事（SH）</t>
    <phoneticPr fontId="3"/>
  </si>
  <si>
    <t>産業振興㈱　</t>
  </si>
  <si>
    <t>契約書：高見常務か管家さんに確認</t>
    <rPh sb="0" eb="3">
      <t>ケイヤクショ</t>
    </rPh>
    <rPh sb="4" eb="6">
      <t>タカミ</t>
    </rPh>
    <rPh sb="6" eb="8">
      <t>ジョウム</t>
    </rPh>
    <rPh sb="9" eb="10">
      <t>カン</t>
    </rPh>
    <rPh sb="10" eb="11">
      <t>イエ</t>
    </rPh>
    <rPh sb="14" eb="16">
      <t>カクニン</t>
    </rPh>
    <phoneticPr fontId="3"/>
  </si>
  <si>
    <t>Billone3/5アップ</t>
    <phoneticPr fontId="3"/>
  </si>
  <si>
    <t>NSハイパーツ株式会社</t>
    <phoneticPr fontId="3"/>
  </si>
  <si>
    <t>岐阜県可児市姫ヶ丘丁目35　中澤 様</t>
    <phoneticPr fontId="3"/>
  </si>
  <si>
    <t>姫路パネル製作工場</t>
  </si>
  <si>
    <t>100％完了(弘一建設分）_x000D_
3/4　100％完了（NSハイパーツ分）</t>
    <phoneticPr fontId="3"/>
  </si>
  <si>
    <t>03-2503-012</t>
  </si>
  <si>
    <t>カワサキテクノクリエイツ本社移転工事</t>
  </si>
  <si>
    <t>川重ファシリテック㈱</t>
  </si>
  <si>
    <t>03-2514-009</t>
  </si>
  <si>
    <t>福伸電機株式会社 清明寮 電動弁工事</t>
  </si>
  <si>
    <t>PDFでメール※紙での送付は不要</t>
    <phoneticPr fontId="3"/>
  </si>
  <si>
    <t xml:space="preserve">担当者にメールで送付の為、PDFで保原、西川に送付お願いします。紙での郵送は不要です。_x000D_
</t>
  </si>
  <si>
    <t>03-2510-006</t>
  </si>
  <si>
    <t>新長田　荻原記念病院2年点検対応工事</t>
    <phoneticPr fontId="3"/>
  </si>
  <si>
    <t>大林組</t>
    <phoneticPr fontId="3"/>
  </si>
  <si>
    <t>雑工事計算外の為△</t>
    <rPh sb="0" eb="3">
      <t>ザツコウジ</t>
    </rPh>
    <rPh sb="3" eb="6">
      <t>ケイサンガイ</t>
    </rPh>
    <rPh sb="7" eb="8">
      <t>タメ</t>
    </rPh>
    <phoneticPr fontId="3"/>
  </si>
  <si>
    <t>03-2508-005</t>
  </si>
  <si>
    <t>第2多機能ホーム銀の鈴　電気錠修理工事</t>
    <phoneticPr fontId="3"/>
  </si>
  <si>
    <t>(有)ケアサポートかさい代表取締役　露口道子様</t>
    <phoneticPr fontId="3"/>
  </si>
  <si>
    <t>(有)ケアサポートかさい　</t>
    <phoneticPr fontId="3"/>
  </si>
  <si>
    <t>675-2365</t>
    <phoneticPr fontId="3"/>
  </si>
  <si>
    <t>兵庫県加西市畑町2289-59 (有)ケアサポートかさい　代表取締役　露口　道子　様</t>
    <phoneticPr fontId="3"/>
  </si>
  <si>
    <t>第2多機能ホーム銀の鈴</t>
    <phoneticPr fontId="3"/>
  </si>
  <si>
    <t>露口道子</t>
    <phoneticPr fontId="3"/>
  </si>
  <si>
    <t>03-2510-007</t>
  </si>
  <si>
    <t>ジーライオンアリーナ神戸空調検証費</t>
    <phoneticPr fontId="3"/>
  </si>
  <si>
    <t>鳳工業㈱</t>
  </si>
  <si>
    <t>請求書は指定書式で発行済み</t>
  </si>
  <si>
    <t>注文書・発注書</t>
    <phoneticPr fontId="3"/>
  </si>
  <si>
    <t>鳳工業株式会社</t>
    <phoneticPr fontId="3"/>
  </si>
  <si>
    <t>554-0002</t>
    <phoneticPr fontId="3"/>
  </si>
  <si>
    <t>大阪市此花区伝法4丁目3-59　設備事業部　設備部　中西俊紀　工事部長宛</t>
    <phoneticPr fontId="3"/>
  </si>
  <si>
    <t>神戸市長田区大橋町7丁目</t>
    <phoneticPr fontId="3"/>
  </si>
  <si>
    <t>鳳工業　中西様</t>
    <phoneticPr fontId="3"/>
  </si>
  <si>
    <t xml:space="preserve">請求書は指定用紙で提出_x000D_
注文書・発注書添付_x000D_
</t>
    <phoneticPr fontId="3"/>
  </si>
  <si>
    <t>03-2503-013</t>
  </si>
  <si>
    <t>姫路市姫路西消防団 城陽分団詰所新築工事（構造設計費）</t>
    <phoneticPr fontId="3"/>
  </si>
  <si>
    <t>㈱魚崎設計</t>
    <phoneticPr fontId="3"/>
  </si>
  <si>
    <t>03-2509-010</t>
  </si>
  <si>
    <t>カノープス姫路　キャビネットファン取替工事</t>
  </si>
  <si>
    <t>老人保健施設カノープス姫路　宇野様</t>
  </si>
  <si>
    <t>老人保健施設カノープス姫路</t>
    <phoneticPr fontId="3"/>
  </si>
  <si>
    <t>03-2509-011</t>
  </si>
  <si>
    <t>カノープス姫路　厨房換気扇取替工事</t>
  </si>
  <si>
    <t>老人保健施設　カノープス姫路　宇野様</t>
  </si>
  <si>
    <t>03-2508-006</t>
  </si>
  <si>
    <t>リビオ西宮門戸共用廊下6階雨仕舞対策工事（日鉄コミュニティ）</t>
    <phoneticPr fontId="3"/>
  </si>
  <si>
    <t>日鉄コミュニティ</t>
    <phoneticPr fontId="3"/>
  </si>
  <si>
    <t>リビオ西宮門戸管理組合</t>
  </si>
  <si>
    <t>550-0005</t>
  </si>
  <si>
    <t>大阪市西区西本町1-7-19　ワイダ本町ビル3階</t>
  </si>
  <si>
    <t>内藤様</t>
  </si>
  <si>
    <t>03-2503-014</t>
  </si>
  <si>
    <t>飾磨消防団八幡分団詰所新築工事(構造設計費)</t>
  </si>
  <si>
    <t>㈱魚崎設計</t>
  </si>
  <si>
    <t>03-2509-012</t>
  </si>
  <si>
    <t>石川病院　東館１階　フローリングやり替え工事</t>
  </si>
  <si>
    <t>石川病院　東館</t>
  </si>
  <si>
    <t>田中　様</t>
  </si>
  <si>
    <t>03-2513-016</t>
  </si>
  <si>
    <t>医療法人尚生会　加茂病院　新本館　6病棟準隔離室コンセント取替工事</t>
    <phoneticPr fontId="3"/>
  </si>
  <si>
    <t>医療法人尚生会　加茂病院　</t>
    <phoneticPr fontId="3"/>
  </si>
  <si>
    <t>03-2513-017</t>
  </si>
  <si>
    <t>パストラル改修工事</t>
  </si>
  <si>
    <t xml:space="preserve"> 医療法人 尚生会 加茂病院</t>
  </si>
  <si>
    <t>03-2509-013</t>
  </si>
  <si>
    <t>石川邸　アプローチタイル補修工事</t>
  </si>
  <si>
    <t>03-2509-014</t>
  </si>
  <si>
    <t>医療法人仁寿会　石川病院　東館外壁調査＋補修工事</t>
  </si>
  <si>
    <t>工事報告書</t>
  </si>
  <si>
    <t>工事報告書が出来次第　同封し郵送お願いします。</t>
  </si>
  <si>
    <t>03-2512-004</t>
  </si>
  <si>
    <t>オアシスデンタルクリニック　1階柱補修工事</t>
  </si>
  <si>
    <t>損保ジャパン(株)</t>
  </si>
  <si>
    <t>写真</t>
    <phoneticPr fontId="3"/>
  </si>
  <si>
    <t>損保ジャパン(株)神戸保険金サービス第一課　徳毛様</t>
    <phoneticPr fontId="3"/>
  </si>
  <si>
    <t>650-0023</t>
    <phoneticPr fontId="3"/>
  </si>
  <si>
    <t>兵庫県神戸市中央区栄町通4-2-16_x000D_
損保ジャパン神戸みなと元町ビル5階</t>
    <phoneticPr fontId="3"/>
  </si>
  <si>
    <t>神戸保険金サービス第一課　徳毛様</t>
    <phoneticPr fontId="3"/>
  </si>
  <si>
    <t>完成写真同梱必要</t>
    <phoneticPr fontId="3"/>
  </si>
  <si>
    <t>03-2512-005</t>
  </si>
  <si>
    <t>佐々木整形外科　レントゲン室扉ドアチェック交換工事</t>
  </si>
  <si>
    <t>医療法人社団　健樹会　ささき整形外科クリニック</t>
  </si>
  <si>
    <t>671-1523</t>
  </si>
  <si>
    <t>揖保郡太子町東南345</t>
  </si>
  <si>
    <t>成富様</t>
  </si>
  <si>
    <t>03-2514-010</t>
    <phoneticPr fontId="3"/>
  </si>
  <si>
    <t>広英保育園たんぽぽホール空調機更新</t>
    <phoneticPr fontId="3"/>
  </si>
  <si>
    <t>社会福祉法人　八葉会</t>
  </si>
  <si>
    <t>社会福祉法人　八葉福祉会</t>
  </si>
  <si>
    <t>672-8088</t>
  </si>
  <si>
    <t>姫路市飾磨区英賀西町二丁目33</t>
  </si>
  <si>
    <t>広英保育園たんぽぽホール</t>
  </si>
  <si>
    <t>金子園長</t>
  </si>
  <si>
    <t>03-2509-015</t>
  </si>
  <si>
    <t>医療法人仁寿会石川病院　東館４階トイレフラッシュバルブ交換工事</t>
  </si>
  <si>
    <t>03-2514-011</t>
    <phoneticPr fontId="3"/>
  </si>
  <si>
    <t>日鉄ケミカル＆マテリアル㈱新事務所建設工事</t>
    <phoneticPr fontId="3"/>
  </si>
  <si>
    <t>日鉄テックスエンジ㈱</t>
  </si>
  <si>
    <t>NSハイパーツ株式会社　中澤様</t>
    <phoneticPr fontId="3"/>
  </si>
  <si>
    <t>請求1回目：パネル製作（トラス以外完了）　運搬50％_x000D_
請求2回目：パネル製作完了・運搬完了　</t>
    <phoneticPr fontId="3"/>
  </si>
  <si>
    <t>03-2509-016</t>
  </si>
  <si>
    <t>石川邸　玄関ドア　パッキン交換</t>
  </si>
  <si>
    <t>石川　奥様</t>
  </si>
  <si>
    <t>持参しますので、安パト時にでも現場に持って来てください。</t>
  </si>
  <si>
    <t>03-2514-012</t>
  </si>
  <si>
    <t>（仮称）滋賀彦根オフィス新築工事</t>
    <phoneticPr fontId="3"/>
  </si>
  <si>
    <t>㈱藤木工務店</t>
    <phoneticPr fontId="3"/>
  </si>
  <si>
    <t>03-2516-005</t>
  </si>
  <si>
    <t>播州調味料　製品貯蔵棟屋根洗浄</t>
    <phoneticPr fontId="3"/>
  </si>
  <si>
    <t>播州調味料㈱</t>
  </si>
  <si>
    <t>03-2516-006</t>
    <phoneticPr fontId="3"/>
  </si>
  <si>
    <t>イーシステム設備基礎</t>
    <phoneticPr fontId="3"/>
  </si>
  <si>
    <t>(株)イーシステム</t>
  </si>
  <si>
    <t>03-2516-007</t>
    <phoneticPr fontId="3"/>
  </si>
  <si>
    <t>播州調味料　流し台交換</t>
    <phoneticPr fontId="3"/>
  </si>
  <si>
    <t>03-2513-018</t>
    <phoneticPr fontId="3"/>
  </si>
  <si>
    <t>新本館　換気ｶﾞﾗﾘ清掃作業</t>
    <phoneticPr fontId="3"/>
  </si>
  <si>
    <t>03-2509-017</t>
    <phoneticPr fontId="3"/>
  </si>
  <si>
    <t>小林電工株式会社　3階ふすま修繕工事</t>
    <phoneticPr fontId="3"/>
  </si>
  <si>
    <t>小林電工株式会社</t>
  </si>
  <si>
    <t>670-0056</t>
  </si>
  <si>
    <t>姫路市東今宿3-10-17　取締役会長      小林　義昭　様</t>
  </si>
  <si>
    <t>小林義昭　会長</t>
  </si>
  <si>
    <t>03-2513-019</t>
  </si>
  <si>
    <t>㈱IHI　日の浦６棟 地盤調査</t>
  </si>
  <si>
    <t>白井栄司</t>
  </si>
  <si>
    <t>03-2510-008</t>
    <phoneticPr fontId="3"/>
  </si>
  <si>
    <t>クレーネサンヨウ　漏水応急対応工事</t>
    <phoneticPr fontId="3"/>
  </si>
  <si>
    <t>山陽特殊製鋼株式会社</t>
  </si>
  <si>
    <t>03-2513-020</t>
    <phoneticPr fontId="3"/>
  </si>
  <si>
    <t xml:space="preserve"> ㈱IHI　IMM新工場計画に向けた各種調査業務のうちボーリング調査R1</t>
  </si>
  <si>
    <t>03-2509-018</t>
    <phoneticPr fontId="3"/>
  </si>
  <si>
    <t>老人保健施設　カノープス姫路 フローリング補修</t>
    <phoneticPr fontId="3"/>
  </si>
  <si>
    <t>老人保健施設　カノープス姫路　宇野　様</t>
    <phoneticPr fontId="3"/>
  </si>
  <si>
    <t>老人保健施設カノープス姫路</t>
  </si>
  <si>
    <t>姫路市別所町別所960-1</t>
  </si>
  <si>
    <t>宇野様</t>
  </si>
  <si>
    <t>03-2509-019</t>
  </si>
  <si>
    <t>石川病院　駐車場フェンス修繕工事</t>
    <phoneticPr fontId="3"/>
  </si>
  <si>
    <t>ＡＩＧ損害保険険株式会社</t>
    <phoneticPr fontId="3"/>
  </si>
  <si>
    <t>写真</t>
  </si>
  <si>
    <t>ＡＩＧ損害保険険株式会社 姫路サービスセンター</t>
  </si>
  <si>
    <t>670-0964</t>
  </si>
  <si>
    <t>兵庫県姫路市豊沢町１３５_x000D_
姫路市豊沢町１３５姫路大同生命ビル３Ｆ</t>
  </si>
  <si>
    <t>石川病院　駐車場</t>
  </si>
  <si>
    <t>寺本　様</t>
  </si>
  <si>
    <t>工事写真同封お願いします。</t>
  </si>
  <si>
    <t>03-2513-021</t>
    <phoneticPr fontId="3"/>
  </si>
  <si>
    <t>ニッケあすも加古川　厨房床修繕(鉄板養生)工事</t>
    <rPh sb="21" eb="23">
      <t>コウジ</t>
    </rPh>
    <phoneticPr fontId="3"/>
  </si>
  <si>
    <t>日本毛織株式会社</t>
  </si>
  <si>
    <t>日本毛織株式会社　担当：人とみらい開発事業本部　不動産部　不動産開発部　堀　様</t>
    <rPh sb="0" eb="2">
      <t>ニホン</t>
    </rPh>
    <rPh sb="2" eb="4">
      <t>ケオリ</t>
    </rPh>
    <rPh sb="4" eb="8">
      <t>カブシキガイシャ</t>
    </rPh>
    <rPh sb="9" eb="11">
      <t>タントウ</t>
    </rPh>
    <rPh sb="12" eb="13">
      <t>ヒト</t>
    </rPh>
    <rPh sb="17" eb="19">
      <t>カイハツ</t>
    </rPh>
    <rPh sb="19" eb="23">
      <t>ジギョウホンブ</t>
    </rPh>
    <rPh sb="24" eb="28">
      <t>フドウサンブ</t>
    </rPh>
    <rPh sb="29" eb="32">
      <t>フドウサン</t>
    </rPh>
    <rPh sb="32" eb="35">
      <t>カイハツブ</t>
    </rPh>
    <rPh sb="36" eb="37">
      <t>ホリ</t>
    </rPh>
    <rPh sb="38" eb="39">
      <t>サマ</t>
    </rPh>
    <phoneticPr fontId="3"/>
  </si>
  <si>
    <t>650-0037</t>
    <phoneticPr fontId="3"/>
  </si>
  <si>
    <t>神戸市中央区明石町47番地ニッケ神戸ビル3階</t>
    <rPh sb="0" eb="3">
      <t>コウベシ</t>
    </rPh>
    <rPh sb="3" eb="6">
      <t>チュウオウク</t>
    </rPh>
    <rPh sb="6" eb="8">
      <t>アカシ</t>
    </rPh>
    <rPh sb="8" eb="9">
      <t>チョウ</t>
    </rPh>
    <rPh sb="11" eb="13">
      <t>バンチ</t>
    </rPh>
    <rPh sb="16" eb="18">
      <t>コウベ</t>
    </rPh>
    <rPh sb="21" eb="22">
      <t>カイ</t>
    </rPh>
    <phoneticPr fontId="3"/>
  </si>
  <si>
    <t>ニッケあすも加古川</t>
    <rPh sb="6" eb="9">
      <t>カコガワ</t>
    </rPh>
    <phoneticPr fontId="3"/>
  </si>
  <si>
    <t>1/21営業　三國さん請求</t>
    <phoneticPr fontId="3"/>
  </si>
  <si>
    <t>03-2509-020</t>
    <phoneticPr fontId="3"/>
  </si>
  <si>
    <t>カノープス姫路　軽量ドア修理工事</t>
    <phoneticPr fontId="3"/>
  </si>
  <si>
    <t>老人保健施設　カノープス姫路　宇野　様</t>
  </si>
  <si>
    <t>03-2509-021</t>
    <phoneticPr fontId="3"/>
  </si>
  <si>
    <t>小林電工㈱新社屋　3階洗濯機排水キャップ止め</t>
    <phoneticPr fontId="3"/>
  </si>
  <si>
    <t>小林電工株式会社　小川様</t>
  </si>
  <si>
    <t xml:space="preserve">姫路市東今宿3-10-17  </t>
  </si>
  <si>
    <t>小川　様</t>
  </si>
  <si>
    <t>03-2509-022</t>
    <phoneticPr fontId="3"/>
  </si>
  <si>
    <t>老人保健施設カノープス姫路　ボイラー室開放式膨張ﾀﾝｸﾎﾞｰﾙﾀｯﾌﾟ交換作業他</t>
    <phoneticPr fontId="3"/>
  </si>
  <si>
    <t>老人保健施設　カノープス姫路</t>
  </si>
  <si>
    <t xml:space="preserve">
特になし
</t>
    <phoneticPr fontId="3"/>
  </si>
  <si>
    <t>03-2512-006</t>
    <phoneticPr fontId="3"/>
  </si>
  <si>
    <t>白鳥保育園新築工事</t>
    <phoneticPr fontId="3"/>
  </si>
  <si>
    <t>社会福祉法人 白鳥会 理事長 西川 全彦</t>
    <phoneticPr fontId="3"/>
  </si>
  <si>
    <t>猪澤和喜</t>
  </si>
  <si>
    <t>03-2508-007</t>
    <phoneticPr fontId="3"/>
  </si>
  <si>
    <t>加茂病院3西病棟浴室他改修工事</t>
    <phoneticPr fontId="3"/>
  </si>
  <si>
    <t>医療法人尚正会　加茂病院　理事長　細見　和代　</t>
    <phoneticPr fontId="3"/>
  </si>
  <si>
    <t>2026/1/27、2026/2/5</t>
    <phoneticPr fontId="3"/>
  </si>
  <si>
    <t>削除</t>
    <rPh sb="0" eb="2">
      <t>サクジョ</t>
    </rPh>
    <phoneticPr fontId="3"/>
  </si>
  <si>
    <t>03-2509-023</t>
    <phoneticPr fontId="3"/>
  </si>
  <si>
    <t>東館6階浴室　給湯管漏水調査</t>
    <phoneticPr fontId="3"/>
  </si>
  <si>
    <t>医療法人仁寿会　石川病院　村田　様</t>
  </si>
  <si>
    <t>6/10請求新館１階待合ドレン漏水対応工事値引き分-￥6,600-(税込) 含む</t>
  </si>
  <si>
    <t>石川病院　東館</t>
    <phoneticPr fontId="3"/>
  </si>
  <si>
    <t>03-2513-022</t>
    <phoneticPr fontId="3"/>
  </si>
  <si>
    <t>加茂病院　6病棟アキュドア修理</t>
  </si>
  <si>
    <t>医療法人 尚生会 加茂病院</t>
  </si>
  <si>
    <t>03-2303-012</t>
    <phoneticPr fontId="3"/>
  </si>
  <si>
    <t>(仮称)日鉄テックスエンジ株式会社堺構内統合事務所新築工事内の建方追加工事</t>
    <rPh sb="29" eb="30">
      <t>ナイ</t>
    </rPh>
    <rPh sb="31" eb="32">
      <t>タ</t>
    </rPh>
    <rPh sb="32" eb="33">
      <t>カタ</t>
    </rPh>
    <rPh sb="33" eb="35">
      <t>ツイカ</t>
    </rPh>
    <rPh sb="35" eb="37">
      <t>コウジ</t>
    </rPh>
    <phoneticPr fontId="3"/>
  </si>
  <si>
    <t>NSハイパーツ㈱</t>
    <phoneticPr fontId="3"/>
  </si>
  <si>
    <t>追加工事の為保原さんで工事番号を取得</t>
  </si>
  <si>
    <t>Billoneで請求</t>
    <rPh sb="8" eb="10">
      <t>セイキュウ</t>
    </rPh>
    <phoneticPr fontId="3"/>
  </si>
  <si>
    <t>岐阜県可児市姫ヶ丘丁目35　中澤 様</t>
  </si>
  <si>
    <t>堺構内事務所統合工事現場</t>
  </si>
  <si>
    <t>2026.01.27　100％完了
Billoneで提出するため請求書のPDFデータを西川へ送付おねがいします</t>
    <phoneticPr fontId="3"/>
  </si>
  <si>
    <t>03-2509-024</t>
    <phoneticPr fontId="3"/>
  </si>
  <si>
    <t>医療法人　仁寿会石川病院　東館６階浴室　漏水修繕</t>
    <phoneticPr fontId="3"/>
  </si>
  <si>
    <t>03-2516-008</t>
  </si>
  <si>
    <t>播州調味料　加水分解第一倉庫R1号タンク等撤去工事</t>
    <phoneticPr fontId="3"/>
  </si>
  <si>
    <t>03-2303-012</t>
  </si>
  <si>
    <t>(仮称)日鉄テックスエンジ株式会社堺構内統合事務所新築工事内のスチールパネル破損工事</t>
    <phoneticPr fontId="3"/>
  </si>
  <si>
    <t>㈱紀洋</t>
  </si>
  <si>
    <t>株式会社 紀洋</t>
  </si>
  <si>
    <t>640-8425</t>
  </si>
  <si>
    <t>和歌山県和歌山市松江北7丁目6番5号</t>
  </si>
  <si>
    <t>堺構内統合事務所現場</t>
  </si>
  <si>
    <t>森部長</t>
  </si>
  <si>
    <t>1/29 100%請求</t>
  </si>
  <si>
    <t>03-2514-013</t>
  </si>
  <si>
    <t>福伸電機株式会社 清明寮1階SD扉防虫ブラシ取付工事</t>
  </si>
  <si>
    <t>福伸電機㈱ 南様</t>
  </si>
  <si>
    <r>
      <t xml:space="preserve">1/30 100％請求⇒　2/6　破棄
</t>
    </r>
    <r>
      <rPr>
        <b/>
        <sz val="12"/>
        <color rgb="FFFF0000"/>
        <rFont val="Meiryo UI"/>
        <family val="3"/>
        <charset val="128"/>
      </rPr>
      <t>実際の工事は2月の予定
削除になる場合もあり</t>
    </r>
    <rPh sb="17" eb="19">
      <t>ハキ</t>
    </rPh>
    <rPh sb="20" eb="22">
      <t>ジッサイ</t>
    </rPh>
    <rPh sb="23" eb="25">
      <t>コウジ</t>
    </rPh>
    <rPh sb="27" eb="28">
      <t>ガツ</t>
    </rPh>
    <rPh sb="29" eb="31">
      <t>ヨテイ</t>
    </rPh>
    <rPh sb="32" eb="34">
      <t>サクジョ</t>
    </rPh>
    <rPh sb="37" eb="39">
      <t>バアイ</t>
    </rPh>
    <phoneticPr fontId="3"/>
  </si>
  <si>
    <t>03-2503-015</t>
    <phoneticPr fontId="3"/>
  </si>
  <si>
    <t>大一倉庫㈱姫路東営業所　北宿倉庫 第6号倉庫新築工事</t>
    <phoneticPr fontId="3"/>
  </si>
  <si>
    <t>大一倉庫㈱</t>
  </si>
  <si>
    <t>2026/5</t>
    <phoneticPr fontId="3"/>
  </si>
  <si>
    <t>2026/10</t>
    <phoneticPr fontId="3"/>
  </si>
  <si>
    <t>４月ごろ</t>
    <rPh sb="1" eb="2">
      <t>ガツ</t>
    </rPh>
    <phoneticPr fontId="3"/>
  </si>
  <si>
    <t>※DigitalBillder　担当入江さんで登録
住所は未登録！</t>
    <rPh sb="16" eb="18">
      <t>タントウ</t>
    </rPh>
    <rPh sb="18" eb="20">
      <t>イリエ</t>
    </rPh>
    <rPh sb="23" eb="25">
      <t>トウロク</t>
    </rPh>
    <rPh sb="26" eb="28">
      <t>ジュウショ</t>
    </rPh>
    <rPh sb="29" eb="32">
      <t>ミトウロク</t>
    </rPh>
    <phoneticPr fontId="3"/>
  </si>
  <si>
    <t>03-2513-023</t>
    <phoneticPr fontId="3"/>
  </si>
  <si>
    <t>㈱IHI　旧中央ハウス前主幹道路側溝敷設工事</t>
    <phoneticPr fontId="3"/>
  </si>
  <si>
    <t>03-2523-003</t>
  </si>
  <si>
    <t>キングフーズ㈱2階投入場建具修復工事</t>
    <phoneticPr fontId="3"/>
  </si>
  <si>
    <t>03-2509-025</t>
    <phoneticPr fontId="3"/>
  </si>
  <si>
    <t>小林電工㈱新社屋　引込柱　点検口　扉に改造</t>
    <rPh sb="0" eb="4">
      <t>コバヤシデンコウ</t>
    </rPh>
    <phoneticPr fontId="3"/>
  </si>
  <si>
    <t>小林電工株式会社　</t>
  </si>
  <si>
    <t>和田部長　様</t>
  </si>
  <si>
    <t>03-2510-009</t>
    <phoneticPr fontId="3"/>
  </si>
  <si>
    <t>石川病院増築等工事　試掘作業</t>
    <phoneticPr fontId="3"/>
  </si>
  <si>
    <t>医療法人仁寿会石川病院</t>
  </si>
  <si>
    <t>三木　様</t>
  </si>
  <si>
    <t>03-2509-026</t>
    <phoneticPr fontId="3"/>
  </si>
  <si>
    <t>小林電工㈱新社屋　軒天修繕工事</t>
    <phoneticPr fontId="3"/>
  </si>
  <si>
    <t>2025/12/12　
小林電工　和田部長より工事実施、引継ぎの絡あり</t>
    <phoneticPr fontId="3"/>
  </si>
  <si>
    <t>03-2509-027</t>
    <phoneticPr fontId="3"/>
  </si>
  <si>
    <t>小林電工株式会社　本社３階床補修工事</t>
    <phoneticPr fontId="3"/>
  </si>
  <si>
    <t>小林会長　様</t>
  </si>
  <si>
    <t>03-2503-016</t>
    <phoneticPr fontId="3"/>
  </si>
  <si>
    <t>山本板金工業㈱ 本社社屋増築・改修工事</t>
    <phoneticPr fontId="3"/>
  </si>
  <si>
    <t xml:space="preserve">山本板金工業㈱ </t>
  </si>
  <si>
    <t>小野設計
Ⅰ期工事：3,000万円　改修　3/16～6/30
Ⅱ期工事：9,000万円　増築　5/1～10/31</t>
    <rPh sb="18" eb="20">
      <t>カイシュウ</t>
    </rPh>
    <rPh sb="44" eb="46">
      <t>ゾウチク</t>
    </rPh>
    <phoneticPr fontId="3"/>
  </si>
  <si>
    <t>03-2513-024</t>
    <phoneticPr fontId="3"/>
  </si>
  <si>
    <t>㈱IHI 日の浦6棟地盤調査R１(追加工事分)</t>
    <phoneticPr fontId="3"/>
  </si>
  <si>
    <t xml:space="preserve">㈱IHI </t>
  </si>
  <si>
    <t>03-2513-025</t>
    <phoneticPr fontId="3"/>
  </si>
  <si>
    <t>㈱IHI　桜ヶ丘７棟事務所２階改装工事</t>
    <rPh sb="17" eb="19">
      <t>コウジ</t>
    </rPh>
    <phoneticPr fontId="3"/>
  </si>
  <si>
    <t>03-2515-004</t>
    <phoneticPr fontId="3"/>
  </si>
  <si>
    <t>赤穂市新学校給食センター外部換気フード鳥除け</t>
    <phoneticPr fontId="3"/>
  </si>
  <si>
    <t>赤穂市新学校給食センター</t>
  </si>
  <si>
    <t>持参　※西川へ渡してください</t>
  </si>
  <si>
    <t>小林電工様に出入りの運送業者の物損修理です。</t>
  </si>
  <si>
    <t>小林電工株式会社　新社屋</t>
  </si>
  <si>
    <t>03-2503-011</t>
  </si>
  <si>
    <t>産業振興㈱北九州ヤード事務所新築工事（SH）　追加工事</t>
    <phoneticPr fontId="3"/>
  </si>
  <si>
    <t>産業振興㈱　</t>
    <phoneticPr fontId="3"/>
  </si>
  <si>
    <t>株式会社　弘一建設</t>
  </si>
  <si>
    <t>816-0813</t>
  </si>
  <si>
    <t>福岡県春日市惣利5丁目114番</t>
  </si>
  <si>
    <t>北九州市若松区響町1丁目105番35</t>
    <rPh sb="0" eb="1">
      <t>キタ</t>
    </rPh>
    <rPh sb="1" eb="3">
      <t>キュウシュウ</t>
    </rPh>
    <rPh sb="3" eb="4">
      <t>シ</t>
    </rPh>
    <rPh sb="4" eb="7">
      <t>ワカマツク</t>
    </rPh>
    <rPh sb="7" eb="8">
      <t>ヒビキ</t>
    </rPh>
    <rPh sb="8" eb="9">
      <t>チョウ</t>
    </rPh>
    <rPh sb="10" eb="12">
      <t>チョウメ</t>
    </rPh>
    <rPh sb="15" eb="16">
      <t>バン</t>
    </rPh>
    <phoneticPr fontId="3"/>
  </si>
  <si>
    <t>弘一建設 酒井専務</t>
  </si>
  <si>
    <t>03-2509-029</t>
    <phoneticPr fontId="3"/>
  </si>
  <si>
    <t>東館6階EV前漏水修理用点検口取付工事</t>
  </si>
  <si>
    <t>03-2516-009</t>
    <phoneticPr fontId="3"/>
  </si>
  <si>
    <t>播州調味料 アミノ酸工場側溝防水</t>
  </si>
  <si>
    <t>03-2509-030</t>
    <phoneticPr fontId="3"/>
  </si>
  <si>
    <t>小林電工　本社2階トイレ修理</t>
    <phoneticPr fontId="3"/>
  </si>
  <si>
    <t>03-2503-017</t>
    <phoneticPr fontId="3"/>
  </si>
  <si>
    <t>日鉄物流㈱瀬戸内支店 阪神地区（東予） 事務所建替工事</t>
  </si>
  <si>
    <t xml:space="preserve">日鉄物流㈱瀬戸内支店 </t>
  </si>
  <si>
    <t>DigitalBillderは高見常務・設計岸本君で仮登録
金額は概算金額！！</t>
    <rPh sb="15" eb="17">
      <t>タカミ</t>
    </rPh>
    <rPh sb="17" eb="19">
      <t>ジョウム</t>
    </rPh>
    <rPh sb="20" eb="22">
      <t>セッケイ</t>
    </rPh>
    <rPh sb="22" eb="24">
      <t>キシモト</t>
    </rPh>
    <rPh sb="24" eb="25">
      <t>クン</t>
    </rPh>
    <rPh sb="26" eb="29">
      <t>カリトウロク</t>
    </rPh>
    <rPh sb="30" eb="32">
      <t>キンガク</t>
    </rPh>
    <rPh sb="33" eb="37">
      <t>ガイサンキンガク</t>
    </rPh>
    <phoneticPr fontId="3"/>
  </si>
  <si>
    <t>03-2516-010</t>
    <phoneticPr fontId="3"/>
  </si>
  <si>
    <t>播州調味料 製品貯槽棟排水工事</t>
    <phoneticPr fontId="3"/>
  </si>
  <si>
    <t>03-2510-010</t>
  </si>
  <si>
    <t>山陽色素㈱SF4こうばALC開口設置他工事</t>
  </si>
  <si>
    <t>山陽色素㈱</t>
  </si>
  <si>
    <t>営業担当：赤路部長</t>
  </si>
  <si>
    <t>03-2514-014</t>
  </si>
  <si>
    <t>茨城那珂オフィス新築工事</t>
    <phoneticPr fontId="3"/>
  </si>
  <si>
    <t>岐阜県可児市姫ヶ丘丁目35　鈴村様</t>
  </si>
  <si>
    <t>NSハイパーツ株式会社　中澤様</t>
  </si>
  <si>
    <t>パネル製作費請求100％完了</t>
  </si>
  <si>
    <t>03-2514-015</t>
  </si>
  <si>
    <t>(仮称)和歌山労働組合会館事務所新築工事</t>
  </si>
  <si>
    <t>03-2509-031</t>
    <phoneticPr fontId="3"/>
  </si>
  <si>
    <t>原田工業株式会社　漏水部　幕板補修</t>
    <phoneticPr fontId="3"/>
  </si>
  <si>
    <t>原田工業株式会社</t>
  </si>
  <si>
    <t>672-8043</t>
  </si>
  <si>
    <t>姫路市飾磨区上野田3-25</t>
  </si>
  <si>
    <t>八十　様</t>
  </si>
  <si>
    <t>工事写真　同封お願いします。</t>
  </si>
  <si>
    <t>03-2509-032</t>
    <phoneticPr fontId="3"/>
  </si>
  <si>
    <t>洋風大便器　パッキン取替工事</t>
    <phoneticPr fontId="3"/>
  </si>
  <si>
    <t>社会福祉法人八葉福祉会　やぐら保育園</t>
    <phoneticPr fontId="3"/>
  </si>
  <si>
    <t>社会福祉法人　八葉福祉会　やぐら保育園</t>
  </si>
  <si>
    <t>672-8079</t>
  </si>
  <si>
    <t>姫路市飾磨区英賀保駅前町82-6</t>
  </si>
  <si>
    <t>営業ヨリ　持参し集金お願いします。</t>
  </si>
  <si>
    <t>03-2503-018</t>
  </si>
  <si>
    <t>(仮称)sala双樹project</t>
  </si>
  <si>
    <t>ASK　PLANNING株式会社</t>
    <phoneticPr fontId="3"/>
  </si>
  <si>
    <t>日付無</t>
    <phoneticPr fontId="3"/>
  </si>
  <si>
    <t>03-2513-026</t>
  </si>
  <si>
    <t>加茂病院新本館フロン漏洩点検作業</t>
  </si>
  <si>
    <t>03-2513-027</t>
  </si>
  <si>
    <t>加茂病院　厨房送風機更新工事</t>
  </si>
  <si>
    <t>03-2513-028</t>
  </si>
  <si>
    <t>加茂病院　6病棟　空調点検</t>
  </si>
  <si>
    <t>03-2509-033</t>
    <phoneticPr fontId="3"/>
  </si>
  <si>
    <t>小林電工㈱　３階会議室　空調吹き出し口追加工事</t>
    <phoneticPr fontId="3"/>
  </si>
  <si>
    <t>姫路市東今宿3-10-17　</t>
  </si>
  <si>
    <t>和田部長</t>
  </si>
  <si>
    <t>03-2513-029</t>
  </si>
  <si>
    <t>ニッケあすも加古川119号室補修工事</t>
    <phoneticPr fontId="3"/>
  </si>
  <si>
    <t>ニッケあすも加古川119号室　西嶋澄子様</t>
  </si>
  <si>
    <t>振込があった際は(西嶋澄子様宛)領収書の郵送をお願いします。</t>
    <rPh sb="0" eb="2">
      <t>フリコミ</t>
    </rPh>
    <rPh sb="6" eb="7">
      <t>サイ</t>
    </rPh>
    <rPh sb="9" eb="11">
      <t>ニシジマ</t>
    </rPh>
    <rPh sb="11" eb="13">
      <t>スミコ</t>
    </rPh>
    <rPh sb="13" eb="15">
      <t>サマアテ</t>
    </rPh>
    <rPh sb="16" eb="19">
      <t>リョウシュウショ</t>
    </rPh>
    <rPh sb="20" eb="22">
      <t>ユウソウ</t>
    </rPh>
    <rPh sb="24" eb="25">
      <t>ネガ</t>
    </rPh>
    <phoneticPr fontId="3"/>
  </si>
  <si>
    <t>03-2508-008</t>
  </si>
  <si>
    <t>相生地域エネルギーセンター建設工事</t>
  </si>
  <si>
    <t>確認中</t>
  </si>
  <si>
    <t>03-2513-030</t>
    <phoneticPr fontId="3"/>
  </si>
  <si>
    <t>加茂病院　6病棟錠前交換工事</t>
    <phoneticPr fontId="3"/>
  </si>
  <si>
    <t>03-2610-001</t>
    <phoneticPr fontId="3"/>
  </si>
  <si>
    <t>東芝エレベータ㈱姫路工場　部品センター改修工事【2期工事】</t>
  </si>
  <si>
    <t>東芝エレベーター株式会社</t>
  </si>
  <si>
    <t>03-2515-005</t>
    <phoneticPr fontId="3"/>
  </si>
  <si>
    <t>日本毛織㈱印南工場NKS第二組立工場　土間補修工事</t>
    <phoneticPr fontId="3"/>
  </si>
  <si>
    <t>ニッケみらい建設㈱</t>
    <phoneticPr fontId="3"/>
  </si>
  <si>
    <t>03-2509-034</t>
    <phoneticPr fontId="3"/>
  </si>
  <si>
    <t>カノープス姫路　アコーディオンカーテン取替　(２階)</t>
    <phoneticPr fontId="3"/>
  </si>
  <si>
    <t>03-2513-031</t>
    <phoneticPr fontId="3"/>
  </si>
  <si>
    <t>ニッケあすも加古川120号室補修工事</t>
    <phoneticPr fontId="3"/>
  </si>
  <si>
    <t>ニッケあすも加古川120号室 柴田　米蔵　様</t>
  </si>
  <si>
    <t>入金の確認後領収書の送付</t>
  </si>
  <si>
    <t>03-2509-035</t>
  </si>
  <si>
    <t>カノープス姫路　点検口取付</t>
  </si>
  <si>
    <t>【テスト】西川絵里</t>
  </si>
  <si>
    <t>★★テスト</t>
  </si>
  <si>
    <t>手渡し　西川へ</t>
  </si>
  <si>
    <t>見積書,納品書,領収書</t>
  </si>
  <si>
    <t>テストテスト</t>
  </si>
  <si>
    <t xml:space="preserve">なし_x000D_
</t>
  </si>
  <si>
    <t>03-2550-002</t>
  </si>
  <si>
    <t>★★20260318</t>
  </si>
  <si>
    <t>ｓｓｓｓｓ</t>
  </si>
  <si>
    <t>ｓｓｓｓｓｓ</t>
  </si>
  <si>
    <t>マスタシート</t>
    <phoneticPr fontId="6"/>
  </si>
  <si>
    <t>000-1111</t>
    <phoneticPr fontId="3"/>
  </si>
  <si>
    <t>岐阜県可児市姫ヶ丘1丁目35　鈴村様</t>
    <phoneticPr fontId="3"/>
  </si>
  <si>
    <t>676-0008</t>
    <phoneticPr fontId="3"/>
  </si>
  <si>
    <t>兵庫県高砂市荒井町新浜2-12-1　管理部 川内様</t>
    <phoneticPr fontId="3"/>
  </si>
  <si>
    <t>製造部 水野係長</t>
    <phoneticPr fontId="3"/>
  </si>
  <si>
    <t xml:space="preserve">キングフーズ 株式会社  </t>
    <phoneticPr fontId="3"/>
  </si>
  <si>
    <t>加東市北野713</t>
    <phoneticPr fontId="3"/>
  </si>
  <si>
    <t>加茂病院本館</t>
    <phoneticPr fontId="3"/>
  </si>
  <si>
    <t>医療法人　尚生会　加茂病院</t>
    <phoneticPr fontId="3"/>
  </si>
  <si>
    <t>兵庫縣姫路護國神社　</t>
    <phoneticPr fontId="3"/>
  </si>
  <si>
    <t>姫路市本町118　宮司　泉　和慶　様</t>
    <rPh sb="17" eb="18">
      <t>サマ</t>
    </rPh>
    <phoneticPr fontId="3"/>
  </si>
  <si>
    <t>梅津秀夫　院長</t>
    <rPh sb="5" eb="7">
      <t>インチョウ</t>
    </rPh>
    <phoneticPr fontId="3"/>
  </si>
  <si>
    <t>姫路市東今宿3-10-17　</t>
    <phoneticPr fontId="3"/>
  </si>
  <si>
    <t>和田部長</t>
    <phoneticPr fontId="3"/>
  </si>
  <si>
    <t>三木　様</t>
    <phoneticPr fontId="3"/>
  </si>
  <si>
    <t>㈱ニッケ・ケアサービス　ニッケあすも加古川117号室　小西　文子様</t>
  </si>
  <si>
    <t>医療法人財団春日野会サンスマイル北野</t>
  </si>
  <si>
    <t>NSハイパーツ株式会社</t>
  </si>
  <si>
    <t>姫路市別所町別所　石川智基様</t>
    <phoneticPr fontId="3"/>
  </si>
  <si>
    <t>石川智基 奥様</t>
    <phoneticPr fontId="3"/>
  </si>
  <si>
    <t>やぐら保育園　金子園長　様</t>
  </si>
  <si>
    <t>639-0264</t>
  </si>
  <si>
    <t>奈良県香芝市今泉716</t>
  </si>
  <si>
    <t>パーム今泉新館</t>
  </si>
  <si>
    <t>(有)ケアサポートかさい　代表取締役　露口　道子御中</t>
  </si>
  <si>
    <t>675-2365</t>
  </si>
  <si>
    <t>兵庫県加西市畑町2289-59</t>
  </si>
  <si>
    <t>第2多機能ホーム銀の鈴</t>
  </si>
  <si>
    <t>露口道子</t>
  </si>
  <si>
    <t>(有)ケアサポートかさい</t>
  </si>
  <si>
    <t>鳳工業株式会社</t>
  </si>
  <si>
    <t>姫路市別所町別所960-1</t>
    <phoneticPr fontId="3"/>
  </si>
  <si>
    <t>宇野様</t>
    <phoneticPr fontId="3"/>
  </si>
  <si>
    <t>損保ジャパン(株)神戸保険金サービス第一課　徳毛様</t>
  </si>
  <si>
    <t>本田昭子</t>
  </si>
  <si>
    <t>網干造成地</t>
  </si>
  <si>
    <t>816-0813</t>
    <phoneticPr fontId="3"/>
  </si>
  <si>
    <t>福岡県春日市惣利5丁目114番</t>
    <phoneticPr fontId="3"/>
  </si>
  <si>
    <t>弘一建設 酒井専務</t>
    <phoneticPr fontId="3"/>
  </si>
  <si>
    <t>本田冷蔵㈱太子工場</t>
  </si>
  <si>
    <t>キングフーズ 株式会社</t>
    <phoneticPr fontId="3"/>
  </si>
  <si>
    <t>F18</t>
    <phoneticPr fontId="3"/>
  </si>
  <si>
    <t>O</t>
    <phoneticPr fontId="3"/>
  </si>
  <si>
    <t>R</t>
    <phoneticPr fontId="3"/>
  </si>
  <si>
    <t>V</t>
    <phoneticPr fontId="3"/>
  </si>
  <si>
    <t>F27</t>
    <phoneticPr fontId="3"/>
  </si>
  <si>
    <t>F4</t>
    <phoneticPr fontId="3"/>
  </si>
  <si>
    <t>F7</t>
    <phoneticPr fontId="3"/>
  </si>
  <si>
    <t>ニッケみらい建設㈱</t>
  </si>
  <si>
    <t>675-0039</t>
  </si>
  <si>
    <t>兵庫県加古川市加古川町栗津249-1　太陽ビル　2F</t>
  </si>
  <si>
    <t>ニッケ印南工場</t>
  </si>
  <si>
    <t>橋本様</t>
  </si>
  <si>
    <t>請求書郵送日を5/29にお願いします。</t>
  </si>
  <si>
    <t>【テスト】西川絵里</t>
    <phoneticPr fontId="3"/>
  </si>
  <si>
    <t>テスト</t>
  </si>
  <si>
    <t>阿比野建設</t>
  </si>
  <si>
    <t>速達</t>
    <phoneticPr fontId="3"/>
  </si>
  <si>
    <t>㈱ニッケ・ケアサービス　ニッケあすも加古川 　テスト様</t>
    <phoneticPr fontId="3"/>
  </si>
  <si>
    <t>テスト</t>
    <phoneticPr fontId="3"/>
  </si>
  <si>
    <t>kkkkkk</t>
  </si>
  <si>
    <t>kkkkk</t>
  </si>
  <si>
    <t>03-2513-032</t>
  </si>
  <si>
    <t>6病棟　鍵交換工事</t>
  </si>
  <si>
    <t>03-2550-003</t>
  </si>
  <si>
    <t>ＫＫＫＫＫＫＫＫＫＫＫＫＫＫＫＫＫＫＫＫＫＫＫＫＫＫＫＫＫＫ</t>
  </si>
  <si>
    <t>ＫＫＫＫＫＫ</t>
  </si>
  <si>
    <t>速達</t>
  </si>
  <si>
    <t>㈱ニッケ・ケアサービス　ニッケあすも加古川 　テスト様</t>
  </si>
  <si>
    <t>[{"name":"上記工事","qty":1,"unit":"式","amount":1000000}]</t>
  </si>
  <si>
    <t>F10</t>
    <phoneticPr fontId="3"/>
  </si>
  <si>
    <t>N7</t>
    <phoneticPr fontId="3"/>
  </si>
  <si>
    <t>普通郵便</t>
    <phoneticPr fontId="3"/>
  </si>
  <si>
    <t>工事写真</t>
    <phoneticPr fontId="3"/>
  </si>
  <si>
    <t>ええええええええええええええええええええええええええええええええええええええええええええええええええええええええええええええええ</t>
  </si>
  <si>
    <t>普通郵便</t>
  </si>
  <si>
    <t>ニッケあすも加古川　220号室　水田泰子</t>
  </si>
  <si>
    <t>[{"name":"ｄｄｄｄｄｄｄｄｄｄｄｄｄｄ","qty":1,"unit":"式","amount":50000},{"name":"ｓｓｓｓｓｓｓｓｓｓｓｓｓｓｓｓｓ","qty":1,"unit":"敷","amount":500000000},{"name":"ｓｓｓｓｓｓｓｓｓｓｓｓｓｓｓｓｓｓｓｓｓｓｓ","qty":1,"unit":"箇所","amount":5000000},{"name":"ｄｄｄｄｄｄｄｄｄｄｄｄｄｄｄｄｄ","qty":0,"unit":"箇所","amount":50000},{"name":"ｄｄｄｄｄｄｄｄｄｄｄｄｄｄｄ","qty":0,"unit":"箇所","amount":50000}]</t>
  </si>
  <si>
    <t>テスト03-2503-002　日鉄建材㈱広畑製造所　事務所増築工事</t>
  </si>
  <si>
    <t>[{"name":"上記工事","qty":1,"unit":"式","amount":1000000},{"name":"上記工事2","qty":1,"unit":"量","amount":2000000},{"name":"上記工事3","qty":1,"unit":"箇所","amount":3000000},{"name":"上記工事4","qty":1,"unit":"マイ","amount":4000000},{"name":"上記工事5","qty":1,"unit":"ｍｍ","amount":5000000}]</t>
  </si>
  <si>
    <t>F5</t>
    <phoneticPr fontId="3"/>
  </si>
  <si>
    <t>U18</t>
    <phoneticPr fontId="3"/>
  </si>
  <si>
    <t>F9</t>
    <phoneticPr fontId="3"/>
  </si>
  <si>
    <t>F8</t>
    <phoneticPr fontId="3"/>
  </si>
  <si>
    <t>F17</t>
    <phoneticPr fontId="3"/>
  </si>
  <si>
    <t>F16</t>
    <phoneticPr fontId="3"/>
  </si>
  <si>
    <t>F13</t>
    <phoneticPr fontId="3"/>
  </si>
  <si>
    <t>F14</t>
    <phoneticPr fontId="3"/>
  </si>
  <si>
    <t>F15</t>
    <phoneticPr fontId="3"/>
  </si>
  <si>
    <t>F12</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</si>
</sst>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5" formatCode="&quot;¥&quot;#,##0;&quot;¥&quot;\-#,##0"/>
    <numFmt numFmtId="176" formatCode="yyyy/mm/dd;@"/>
    <numFmt numFmtId="177" formatCode="yy/mm/dd;@"/>
    <numFmt numFmtId="178" formatCode="yyyy/mm/dd"/>
    <numFmt numFmtId="179" formatCode="0_);[Red]\(0\)"/>
  </numFmts>
  <fonts count="52" x14ac:knownFonts="1">
    <font>
      <sz val="10"/>
      <color theme="1"/>
      <name val="ＭＳ ゴシック"/>
      <family val="2"/>
      <charset val="128"/>
    </font>
    <font>
      <sz val="10"/>
      <name val="ＭＳ Ｐゴシック"/>
      <family val="3"/>
      <charset val="128"/>
    </font>
    <font>
      <b/>
      <sz val="12"/>
      <color theme="1"/>
      <name val="Meiryo UI"/>
      <family val="3"/>
      <charset val="128"/>
    </font>
    <font>
      <sz val="6"/>
      <name val="ＭＳ ゴシック"/>
      <family val="2"/>
      <charset val="128"/>
    </font>
    <font>
      <sz val="12"/>
      <name val="Meiryo UI"/>
      <family val="3"/>
      <charset val="128"/>
    </font>
    <font>
      <sz val="10"/>
      <name val="HGSｺﾞｼｯｸM"/>
      <family val="3"/>
      <charset val="128"/>
    </font>
    <font>
      <sz val="6"/>
      <name val="ＭＳ Ｐゴシック"/>
      <family val="3"/>
      <charset val="128"/>
    </font>
    <font>
      <sz val="6"/>
      <name val="ＭＳ ゴシック"/>
      <family val="3"/>
      <charset val="128"/>
    </font>
    <font>
      <sz val="6"/>
      <name val="HGSｺﾞｼｯｸM"/>
      <family val="3"/>
      <charset val="128"/>
    </font>
    <font>
      <sz val="11"/>
      <name val="ＭＳ ゴシック"/>
      <family val="3"/>
      <charset val="128"/>
    </font>
    <font>
      <sz val="10"/>
      <name val="Meiryo UI"/>
      <family val="3"/>
      <charset val="128"/>
    </font>
    <font>
      <b/>
      <sz val="14"/>
      <name val="Meiryo UI"/>
      <family val="3"/>
      <charset val="128"/>
    </font>
    <font>
      <b/>
      <sz val="12"/>
      <color rgb="FFFF0000"/>
      <name val="Meiryo UI"/>
      <family val="3"/>
      <charset val="128"/>
    </font>
    <font>
      <b/>
      <sz val="10"/>
      <name val="Meiryo UI"/>
      <family val="3"/>
      <charset val="128"/>
    </font>
    <font>
      <b/>
      <sz val="12"/>
      <name val="Meiryo UI"/>
      <family val="3"/>
      <charset val="128"/>
    </font>
    <font>
      <b/>
      <sz val="18"/>
      <name val="Meiryo UI"/>
      <family val="3"/>
      <charset val="128"/>
    </font>
    <font>
      <sz val="10"/>
      <color theme="1"/>
      <name val="Meiryo UI"/>
      <family val="3"/>
      <charset val="128"/>
    </font>
    <font>
      <b/>
      <sz val="10"/>
      <color theme="1"/>
      <name val="Meiryo UI"/>
      <family val="3"/>
      <charset val="128"/>
    </font>
    <font>
      <b/>
      <sz val="10"/>
      <color rgb="FFFF0000"/>
      <name val="Meiryo UI"/>
      <family val="3"/>
      <charset val="128"/>
    </font>
    <font>
      <sz val="10"/>
      <color rgb="FFFF0000"/>
      <name val="Meiryo UI"/>
      <family val="3"/>
      <charset val="128"/>
    </font>
    <font>
      <b/>
      <sz val="12"/>
      <color rgb="FF000000"/>
      <name val="Meiryo UI"/>
      <family val="3"/>
      <charset val="128"/>
    </font>
    <font>
      <b/>
      <sz val="12"/>
      <color theme="1"/>
      <name val="ＭＳ ゴシック"/>
      <family val="3"/>
      <charset val="128"/>
    </font>
    <font>
      <sz val="11"/>
      <color theme="1"/>
      <name val="游ゴシック"/>
      <family val="2"/>
      <scheme val="minor"/>
    </font>
    <font>
      <b/>
      <sz val="14"/>
      <color rgb="FFFFFFFF"/>
      <name val="ＭＳ Ｐゴシック"/>
      <family val="3"/>
      <charset val="128"/>
    </font>
    <font>
      <b/>
      <sz val="11"/>
      <color rgb="FF1F3864"/>
      <name val="ＭＳ Ｐゴシック"/>
      <family val="3"/>
      <charset val="128"/>
    </font>
    <font>
      <b/>
      <sz val="12"/>
      <color rgb="FFFFFFFF"/>
      <name val="ＭＳ Ｐゴシック"/>
      <family val="3"/>
      <charset val="128"/>
    </font>
    <font>
      <b/>
      <sz val="10"/>
      <name val="ＭＳ Ｐゴシック"/>
      <family val="3"/>
      <charset val="128"/>
    </font>
    <font>
      <b/>
      <sz val="10"/>
      <color rgb="FFC00000"/>
      <name val="ＭＳ Ｐゴシック"/>
      <family val="3"/>
      <charset val="128"/>
    </font>
    <font>
      <b/>
      <sz val="12"/>
      <name val="ＭＳ Ｐゴシック"/>
      <family val="3"/>
      <charset val="128"/>
    </font>
    <font>
      <b/>
      <sz val="10"/>
      <color rgb="FF1F3864"/>
      <name val="ＭＳ Ｐゴシック"/>
      <family val="3"/>
      <charset val="128"/>
    </font>
    <font>
      <sz val="11"/>
      <color rgb="FF000000"/>
      <name val="游ゴシック"/>
      <family val="2"/>
      <charset val="128"/>
    </font>
    <font>
      <sz val="11"/>
      <color rgb="FF006100"/>
      <name val="游ゴシック"/>
      <family val="2"/>
      <charset val="128"/>
    </font>
    <font>
      <sz val="10"/>
      <color rgb="FF000000"/>
      <name val="Meiryo UI"/>
      <family val="3"/>
      <charset val="128"/>
    </font>
    <font>
      <b/>
      <sz val="10"/>
      <color rgb="FF000000"/>
      <name val="Meiryo UI"/>
      <family val="3"/>
      <charset val="128"/>
    </font>
    <font>
      <sz val="11"/>
      <color rgb="FF000000"/>
      <name val="游ゴシック"/>
      <family val="2"/>
    </font>
    <font>
      <b/>
      <sz val="10"/>
      <color rgb="FFE8E8E8"/>
      <name val="Meiryo UI"/>
      <family val="3"/>
      <charset val="128"/>
    </font>
    <font>
      <sz val="10"/>
      <color rgb="FFE8E8E8"/>
      <name val="Meiryo UI"/>
      <family val="3"/>
      <charset val="128"/>
    </font>
    <font>
      <sz val="9"/>
      <color rgb="FFE8E8E8"/>
      <name val="Meiryo UI"/>
      <family val="3"/>
      <charset val="128"/>
    </font>
    <font>
      <sz val="9"/>
      <color rgb="FF000000"/>
      <name val="Meiryo UI"/>
      <family val="3"/>
      <charset val="128"/>
    </font>
    <font>
      <b/>
      <sz val="14"/>
      <color rgb="FFFFFFFF"/>
      <name val="Meiryo UI"/>
      <family val="3"/>
      <charset val="128"/>
    </font>
    <font>
      <b/>
      <sz val="11"/>
      <color rgb="FFFFFFFF"/>
      <name val="Meiryo UI"/>
      <family val="3"/>
      <charset val="128"/>
    </font>
    <font>
      <b/>
      <sz val="12"/>
      <color rgb="FF000000"/>
      <name val="ＭＳ ゴシック"/>
      <family val="3"/>
      <charset val="128"/>
    </font>
    <font>
      <b/>
      <sz val="14"/>
      <color rgb="FF000000"/>
      <name val="Meiryo UI"/>
      <family val="3"/>
      <charset val="128"/>
    </font>
    <font>
      <b/>
      <sz val="12"/>
      <color rgb="FF0070C0"/>
      <name val="Meiryo UI"/>
      <family val="3"/>
      <charset val="128"/>
    </font>
    <font>
      <b/>
      <sz val="11"/>
      <color rgb="FF0070C0"/>
      <name val="Meiryo UI"/>
      <family val="3"/>
      <charset val="128"/>
    </font>
    <font>
      <b/>
      <sz val="14"/>
      <color theme="1"/>
      <name val="Meiryo UI"/>
      <family val="3"/>
      <charset val="128"/>
    </font>
    <font>
      <sz val="8"/>
      <name val="Meiryo UI"/>
      <family val="3"/>
      <charset val="128"/>
    </font>
    <font>
      <b/>
      <sz val="8"/>
      <color rgb="FF000000"/>
      <name val="Meiryo UI"/>
      <family val="3"/>
      <charset val="128"/>
    </font>
    <font>
      <b/>
      <sz val="8"/>
      <color theme="1"/>
      <name val="Meiryo UI"/>
      <family val="3"/>
      <charset val="128"/>
    </font>
    <font>
      <sz val="14"/>
      <name val="Meiryo UI"/>
      <family val="3"/>
      <charset val="128"/>
    </font>
    <font>
      <sz val="11"/>
      <name val="メイリオ"/>
      <family val="3"/>
      <charset val="128"/>
    </font>
    <font>
      <sz val="11"/>
      <name val="Meiryo UI"/>
      <family val="3"/>
      <charset val="128"/>
    </font>
  </fonts>
  <fills count="29">
    <fill>
      <patternFill patternType="none"/>
    </fill>
    <fill>
      <patternFill patternType="gray125"/>
    </fill>
    <fill>
      <patternFill patternType="solid">
        <fgColor theme="3" tint="0.749992370372631"/>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4472C4"/>
      </patternFill>
    </fill>
    <fill>
      <patternFill patternType="solid">
        <fgColor rgb="FFFFF2CC"/>
      </patternFill>
    </fill>
    <fill>
      <patternFill patternType="solid">
        <fgColor rgb="FFD9E1F2"/>
      </patternFill>
    </fill>
    <fill>
      <patternFill patternType="solid">
        <fgColor rgb="FFA6C9EC"/>
        <bgColor rgb="FF000000"/>
      </patternFill>
    </fill>
    <fill>
      <patternFill patternType="solid">
        <fgColor rgb="FFB5E6A2"/>
        <bgColor rgb="FF000000"/>
      </patternFill>
    </fill>
    <fill>
      <patternFill patternType="solid">
        <fgColor rgb="FFFFFF00"/>
        <bgColor rgb="FF000000"/>
      </patternFill>
    </fill>
    <fill>
      <patternFill patternType="solid">
        <fgColor rgb="FFDCDCDC"/>
        <bgColor rgb="FF000000"/>
      </patternFill>
    </fill>
    <fill>
      <patternFill patternType="solid">
        <fgColor rgb="FF83CCEB"/>
        <bgColor rgb="FF000000"/>
      </patternFill>
    </fill>
    <fill>
      <patternFill patternType="solid">
        <fgColor rgb="FF4472C4"/>
        <bgColor rgb="FFFFFFFF"/>
      </patternFill>
    </fill>
    <fill>
      <patternFill patternType="solid">
        <fgColor rgb="FFFFF2CC"/>
        <bgColor rgb="FFFFFFFF"/>
      </patternFill>
    </fill>
    <fill>
      <patternFill patternType="solid">
        <fgColor rgb="FFD9E1F2"/>
        <bgColor rgb="FFFFFFFF"/>
      </patternFill>
    </fill>
    <fill>
      <patternFill patternType="solid">
        <fgColor rgb="FFC00000"/>
        <bgColor rgb="FFFFFFFF"/>
      </patternFill>
    </fill>
    <fill>
      <patternFill patternType="solid">
        <fgColor rgb="FFFCE4D6"/>
        <bgColor rgb="FFFFFFFF"/>
      </patternFill>
    </fill>
    <fill>
      <patternFill patternType="solid">
        <fgColor rgb="FF0070C0"/>
        <bgColor rgb="FF000000"/>
      </patternFill>
    </fill>
    <fill>
      <patternFill patternType="solid">
        <fgColor rgb="FFF7C7AC"/>
        <bgColor rgb="FF000000"/>
      </patternFill>
    </fill>
    <fill>
      <patternFill patternType="solid">
        <fgColor rgb="FFD0D0D0"/>
        <bgColor rgb="FF000000"/>
      </patternFill>
    </fill>
    <fill>
      <patternFill patternType="solid">
        <fgColor rgb="FFE8E8E8"/>
        <bgColor rgb="FF000000"/>
      </patternFill>
    </fill>
    <fill>
      <patternFill patternType="solid">
        <fgColor rgb="FF747474"/>
        <bgColor rgb="FF000000"/>
      </patternFill>
    </fill>
    <fill>
      <patternFill patternType="solid">
        <fgColor rgb="FFDCDCDC"/>
        <bgColor indexed="64"/>
      </patternFill>
    </fill>
    <fill>
      <patternFill patternType="solid">
        <fgColor theme="2" tint="-0.499984740745262"/>
        <bgColor indexed="64"/>
      </patternFill>
    </fill>
    <fill>
      <patternFill patternType="solid">
        <fgColor rgb="FFFBE2D5"/>
        <bgColor rgb="FF000000"/>
      </patternFill>
    </fill>
    <fill>
      <patternFill patternType="solid">
        <fgColor rgb="FFADADAD"/>
        <bgColor rgb="FF000000"/>
      </patternFill>
    </fill>
    <fill>
      <patternFill patternType="solid">
        <fgColor theme="5" tint="0.79998168889431442"/>
        <bgColor indexed="64"/>
      </patternFill>
    </fill>
  </fills>
  <borders count="11">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thin">
        <color indexed="64"/>
      </bottom>
      <diagonal/>
    </border>
    <border>
      <left style="thin">
        <color rgb="FF808080"/>
      </left>
      <right style="thin">
        <color rgb="FF808080"/>
      </right>
      <top style="thin">
        <color rgb="FF808080"/>
      </top>
      <bottom style="thin">
        <color rgb="FF808080"/>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6">
    <xf numFmtId="0" fontId="0" fillId="0" borderId="0">
      <alignment vertical="center"/>
    </xf>
    <xf numFmtId="0" fontId="1" fillId="0" borderId="0">
      <alignment vertical="center"/>
    </xf>
    <xf numFmtId="38" fontId="1" fillId="0" borderId="0" applyFont="0" applyFill="0" applyBorder="0" applyAlignment="0" applyProtection="0">
      <alignment vertical="center"/>
    </xf>
    <xf numFmtId="0" fontId="5" fillId="0" borderId="0">
      <alignment vertical="center"/>
    </xf>
    <xf numFmtId="0" fontId="9" fillId="0" borderId="0"/>
    <xf numFmtId="0" fontId="22" fillId="0" borderId="0"/>
  </cellStyleXfs>
  <cellXfs count="341">
    <xf numFmtId="0" fontId="0" fillId="0" borderId="0" xfId="0">
      <alignment vertical="center"/>
    </xf>
    <xf numFmtId="0" fontId="2" fillId="2" borderId="2" xfId="1" applyFont="1" applyFill="1" applyBorder="1" applyAlignment="1">
      <alignment horizontal="center" vertical="center"/>
    </xf>
    <xf numFmtId="0" fontId="2" fillId="2" borderId="3" xfId="1" applyFont="1" applyFill="1" applyBorder="1" applyAlignment="1">
      <alignment horizontal="center" vertical="center"/>
    </xf>
    <xf numFmtId="0" fontId="2" fillId="0" borderId="5" xfId="4" applyFont="1" applyBorder="1" applyAlignment="1">
      <alignment horizontal="center" vertical="center"/>
    </xf>
    <xf numFmtId="0" fontId="2" fillId="0" borderId="5" xfId="1" applyFont="1" applyBorder="1" applyAlignment="1">
      <alignment horizontal="center" vertical="center"/>
    </xf>
    <xf numFmtId="0" fontId="10" fillId="0" borderId="0" xfId="1" applyFont="1" applyAlignment="1">
      <alignment horizontal="center" vertical="center"/>
    </xf>
    <xf numFmtId="0" fontId="10" fillId="0" borderId="0" xfId="1" applyFont="1" applyAlignment="1">
      <alignment vertical="center" wrapText="1"/>
    </xf>
    <xf numFmtId="0" fontId="11" fillId="0" borderId="0" xfId="1" applyFont="1" applyAlignment="1">
      <alignment horizontal="center" vertical="center" wrapText="1"/>
    </xf>
    <xf numFmtId="0" fontId="10" fillId="0" borderId="0" xfId="1" applyFont="1">
      <alignment vertical="center"/>
    </xf>
    <xf numFmtId="0" fontId="10" fillId="0" borderId="0" xfId="1" applyFont="1" applyAlignment="1">
      <alignment horizontal="left" vertical="center"/>
    </xf>
    <xf numFmtId="0" fontId="11" fillId="0" borderId="0" xfId="1" applyFont="1" applyAlignment="1">
      <alignment horizontal="center" vertical="center"/>
    </xf>
    <xf numFmtId="0" fontId="12" fillId="0" borderId="0" xfId="1" applyFont="1">
      <alignment vertical="center"/>
    </xf>
    <xf numFmtId="0" fontId="13" fillId="0" borderId="0" xfId="1" applyFont="1">
      <alignment vertical="center"/>
    </xf>
    <xf numFmtId="0" fontId="4" fillId="0" borderId="0" xfId="1" applyFont="1">
      <alignment vertical="center"/>
    </xf>
    <xf numFmtId="0" fontId="17" fillId="0" borderId="3" xfId="3" quotePrefix="1" applyFont="1" applyBorder="1" applyAlignment="1">
      <alignment horizontal="center" vertical="center"/>
    </xf>
    <xf numFmtId="0" fontId="18" fillId="0" borderId="2" xfId="3" applyFont="1" applyBorder="1" applyAlignment="1">
      <alignment horizontal="center" vertical="center"/>
    </xf>
    <xf numFmtId="0" fontId="18" fillId="0" borderId="3" xfId="3" quotePrefix="1" applyFont="1" applyBorder="1" applyAlignment="1">
      <alignment horizontal="center" vertical="center"/>
    </xf>
    <xf numFmtId="0" fontId="19" fillId="0" borderId="4" xfId="3" applyFont="1" applyBorder="1" applyAlignment="1">
      <alignment horizontal="center" vertical="center"/>
    </xf>
    <xf numFmtId="0" fontId="19" fillId="0" borderId="0" xfId="3" applyFont="1">
      <alignment vertical="center"/>
    </xf>
    <xf numFmtId="0" fontId="21" fillId="0" borderId="0" xfId="0" applyFont="1">
      <alignment vertical="center"/>
    </xf>
    <xf numFmtId="14" fontId="21" fillId="0" borderId="0" xfId="0" applyNumberFormat="1" applyFont="1">
      <alignment vertical="center"/>
    </xf>
    <xf numFmtId="0" fontId="21" fillId="0" borderId="0" xfId="0" applyFont="1" applyAlignment="1">
      <alignment vertical="center" wrapText="1"/>
    </xf>
    <xf numFmtId="0" fontId="1" fillId="0" borderId="8" xfId="5" applyFont="1" applyBorder="1"/>
    <xf numFmtId="0" fontId="25" fillId="6" borderId="8" xfId="5" applyFont="1" applyFill="1" applyBorder="1" applyAlignment="1">
      <alignment horizontal="center" vertical="center"/>
    </xf>
    <xf numFmtId="0" fontId="26" fillId="0" borderId="8" xfId="5" applyFont="1" applyBorder="1"/>
    <xf numFmtId="0" fontId="24" fillId="0" borderId="8" xfId="5" applyFont="1" applyBorder="1" applyAlignment="1">
      <alignment horizontal="center" vertical="center"/>
    </xf>
    <xf numFmtId="0" fontId="1" fillId="0" borderId="8" xfId="5" applyFont="1" applyBorder="1" applyAlignment="1">
      <alignment horizontal="left" vertical="center" wrapText="1"/>
    </xf>
    <xf numFmtId="0" fontId="29" fillId="0" borderId="0" xfId="5" applyFont="1" applyAlignment="1">
      <alignment horizontal="left" vertical="center" wrapText="1"/>
    </xf>
    <xf numFmtId="0" fontId="22" fillId="0" borderId="0" xfId="5"/>
    <xf numFmtId="0" fontId="20" fillId="9" borderId="2" xfId="1" applyFont="1" applyFill="1" applyBorder="1" applyAlignment="1">
      <alignment horizontal="center" vertical="center"/>
    </xf>
    <xf numFmtId="0" fontId="20" fillId="9" borderId="3" xfId="1" applyFont="1" applyFill="1" applyBorder="1" applyAlignment="1">
      <alignment horizontal="center" vertical="center"/>
    </xf>
    <xf numFmtId="0" fontId="20" fillId="9" borderId="5" xfId="1" applyFont="1" applyFill="1" applyBorder="1" applyAlignment="1">
      <alignment horizontal="center" vertical="center"/>
    </xf>
    <xf numFmtId="0" fontId="20" fillId="9" borderId="4" xfId="1" applyFont="1" applyFill="1" applyBorder="1" applyAlignment="1">
      <alignment horizontal="center" vertical="center"/>
    </xf>
    <xf numFmtId="0" fontId="20" fillId="9" borderId="5" xfId="3" applyFont="1" applyFill="1" applyBorder="1" applyAlignment="1">
      <alignment horizontal="center" vertical="center" wrapText="1"/>
    </xf>
    <xf numFmtId="0" fontId="20" fillId="9" borderId="4" xfId="3" applyFont="1" applyFill="1" applyBorder="1" applyAlignment="1">
      <alignment horizontal="center" vertical="center"/>
    </xf>
    <xf numFmtId="0" fontId="20" fillId="9" borderId="5" xfId="3" applyFont="1" applyFill="1" applyBorder="1" applyAlignment="1">
      <alignment horizontal="center" vertical="center"/>
    </xf>
    <xf numFmtId="176" fontId="20" fillId="9" borderId="5" xfId="3" applyNumberFormat="1" applyFont="1" applyFill="1" applyBorder="1" applyAlignment="1">
      <alignment horizontal="center" vertical="center"/>
    </xf>
    <xf numFmtId="38" fontId="20" fillId="9" borderId="5" xfId="2" applyFont="1" applyFill="1" applyBorder="1" applyAlignment="1">
      <alignment horizontal="center" vertical="center"/>
    </xf>
    <xf numFmtId="177" fontId="20" fillId="9" borderId="5" xfId="3" applyNumberFormat="1" applyFont="1" applyFill="1" applyBorder="1" applyAlignment="1">
      <alignment horizontal="center" vertical="center" wrapText="1"/>
    </xf>
    <xf numFmtId="176" fontId="20" fillId="10" borderId="5" xfId="3" applyNumberFormat="1" applyFont="1" applyFill="1" applyBorder="1" applyAlignment="1">
      <alignment horizontal="center" vertical="center" wrapText="1"/>
    </xf>
    <xf numFmtId="176" fontId="20" fillId="10" borderId="2" xfId="3" applyNumberFormat="1" applyFont="1" applyFill="1" applyBorder="1" applyAlignment="1">
      <alignment horizontal="center" vertical="center"/>
    </xf>
    <xf numFmtId="176" fontId="20" fillId="10" borderId="2" xfId="3" applyNumberFormat="1" applyFont="1" applyFill="1" applyBorder="1" applyAlignment="1">
      <alignment horizontal="center" vertical="center" wrapText="1"/>
    </xf>
    <xf numFmtId="0" fontId="20" fillId="0" borderId="5" xfId="4" applyFont="1" applyBorder="1" applyAlignment="1">
      <alignment horizontal="center" vertical="center"/>
    </xf>
    <xf numFmtId="0" fontId="20" fillId="0" borderId="5" xfId="1" applyFont="1" applyBorder="1" applyAlignment="1">
      <alignment horizontal="center" vertical="center"/>
    </xf>
    <xf numFmtId="0" fontId="20" fillId="12" borderId="5" xfId="1" applyFont="1" applyFill="1" applyBorder="1" applyAlignment="1">
      <alignment horizontal="center" vertical="center"/>
    </xf>
    <xf numFmtId="0" fontId="32" fillId="0" borderId="5" xfId="3" applyFont="1" applyBorder="1" applyAlignment="1">
      <alignment horizontal="distributed" vertical="center" indent="4"/>
    </xf>
    <xf numFmtId="0" fontId="33" fillId="0" borderId="3" xfId="3" quotePrefix="1" applyFont="1" applyBorder="1" applyAlignment="1">
      <alignment horizontal="center" vertical="center"/>
    </xf>
    <xf numFmtId="5" fontId="32" fillId="0" borderId="5" xfId="3" applyNumberFormat="1" applyFont="1" applyBorder="1" applyAlignment="1">
      <alignment horizontal="distributed" vertical="center" indent="4"/>
    </xf>
    <xf numFmtId="5" fontId="32" fillId="0" borderId="4" xfId="3" applyNumberFormat="1" applyFont="1" applyBorder="1" applyAlignment="1">
      <alignment horizontal="distributed" vertical="center" indent="4"/>
    </xf>
    <xf numFmtId="0" fontId="34" fillId="0" borderId="0" xfId="5" applyFont="1"/>
    <xf numFmtId="0" fontId="25" fillId="14" borderId="8" xfId="5" applyFont="1" applyFill="1" applyBorder="1" applyAlignment="1">
      <alignment horizontal="center" vertical="center"/>
    </xf>
    <xf numFmtId="0" fontId="24" fillId="16" borderId="8" xfId="5" applyFont="1" applyFill="1" applyBorder="1"/>
    <xf numFmtId="0" fontId="27" fillId="18" borderId="0" xfId="5" applyFont="1" applyFill="1" applyAlignment="1">
      <alignment horizontal="left" vertical="center" wrapText="1"/>
    </xf>
    <xf numFmtId="0" fontId="32" fillId="0" borderId="0" xfId="3" applyFont="1" applyAlignment="1">
      <alignment horizontal="center" vertical="center"/>
    </xf>
    <xf numFmtId="0" fontId="32" fillId="0" borderId="0" xfId="3" applyFont="1" applyAlignment="1">
      <alignment horizontal="distributed" vertical="center" indent="2"/>
    </xf>
    <xf numFmtId="0" fontId="32" fillId="0" borderId="0" xfId="3" applyFont="1">
      <alignment vertical="center"/>
    </xf>
    <xf numFmtId="0" fontId="32" fillId="0" borderId="1" xfId="3" applyFont="1" applyBorder="1" applyAlignment="1">
      <alignment horizontal="distributed" vertical="center" indent="2"/>
    </xf>
    <xf numFmtId="0" fontId="32" fillId="0" borderId="1" xfId="3" applyFont="1" applyBorder="1">
      <alignment vertical="center"/>
    </xf>
    <xf numFmtId="0" fontId="32" fillId="0" borderId="5" xfId="3" applyFont="1" applyBorder="1" applyAlignment="1">
      <alignment horizontal="center" vertical="center" textRotation="255"/>
    </xf>
    <xf numFmtId="0" fontId="32" fillId="0" borderId="5" xfId="3" applyFont="1" applyBorder="1" applyAlignment="1">
      <alignment horizontal="distributed" vertical="center" indent="2"/>
    </xf>
    <xf numFmtId="0" fontId="32" fillId="0" borderId="0" xfId="3" applyFont="1" applyAlignment="1">
      <alignment horizontal="center" vertical="center" textRotation="255"/>
    </xf>
    <xf numFmtId="0" fontId="35" fillId="0" borderId="2" xfId="3" applyFont="1" applyBorder="1" applyAlignment="1">
      <alignment horizontal="center" vertical="center"/>
    </xf>
    <xf numFmtId="0" fontId="35" fillId="0" borderId="3" xfId="3" applyFont="1" applyBorder="1" applyAlignment="1">
      <alignment horizontal="center" vertical="center"/>
    </xf>
    <xf numFmtId="0" fontId="35" fillId="0" borderId="3" xfId="3" quotePrefix="1" applyFont="1" applyBorder="1" applyAlignment="1">
      <alignment horizontal="center" vertical="center"/>
    </xf>
    <xf numFmtId="0" fontId="36" fillId="0" borderId="4" xfId="3" applyFont="1" applyBorder="1" applyAlignment="1">
      <alignment horizontal="center" vertical="center"/>
    </xf>
    <xf numFmtId="0" fontId="36" fillId="0" borderId="5" xfId="3" applyFont="1" applyBorder="1" applyAlignment="1">
      <alignment horizontal="distributed" vertical="center" indent="2"/>
    </xf>
    <xf numFmtId="0" fontId="36" fillId="0" borderId="0" xfId="3" applyFont="1">
      <alignment vertical="center"/>
    </xf>
    <xf numFmtId="0" fontId="36" fillId="0" borderId="0" xfId="3" applyFont="1" applyAlignment="1">
      <alignment horizontal="center" vertical="center"/>
    </xf>
    <xf numFmtId="0" fontId="37" fillId="0" borderId="0" xfId="1" applyFont="1" applyAlignment="1">
      <alignment horizontal="center" vertical="center"/>
    </xf>
    <xf numFmtId="0" fontId="33" fillId="0" borderId="2" xfId="3" quotePrefix="1" applyFont="1" applyBorder="1" applyAlignment="1">
      <alignment horizontal="center" vertical="center"/>
    </xf>
    <xf numFmtId="0" fontId="33" fillId="0" borderId="3" xfId="3" applyFont="1" applyBorder="1" applyAlignment="1">
      <alignment horizontal="center" vertical="center"/>
    </xf>
    <xf numFmtId="0" fontId="32" fillId="0" borderId="4" xfId="3" applyFont="1" applyBorder="1" applyAlignment="1">
      <alignment horizontal="center" vertical="center"/>
    </xf>
    <xf numFmtId="0" fontId="38" fillId="0" borderId="0" xfId="1" applyFont="1" applyAlignment="1">
      <alignment horizontal="center" vertical="center"/>
    </xf>
    <xf numFmtId="5" fontId="32" fillId="0" borderId="5" xfId="3" applyNumberFormat="1" applyFont="1" applyBorder="1" applyAlignment="1">
      <alignment horizontal="distributed" vertical="center" indent="2"/>
    </xf>
    <xf numFmtId="5" fontId="32" fillId="0" borderId="0" xfId="3" applyNumberFormat="1" applyFont="1">
      <alignment vertical="center"/>
    </xf>
    <xf numFmtId="5" fontId="36" fillId="0" borderId="0" xfId="3" applyNumberFormat="1" applyFont="1">
      <alignment vertical="center"/>
    </xf>
    <xf numFmtId="5" fontId="36" fillId="0" borderId="5" xfId="3" applyNumberFormat="1" applyFont="1" applyBorder="1" applyAlignment="1">
      <alignment horizontal="distributed" vertical="center" indent="2"/>
    </xf>
    <xf numFmtId="5" fontId="32" fillId="0" borderId="4" xfId="3" applyNumberFormat="1" applyFont="1" applyBorder="1" applyAlignment="1">
      <alignment horizontal="distributed" vertical="center" indent="2"/>
    </xf>
    <xf numFmtId="5" fontId="36" fillId="0" borderId="4" xfId="3" applyNumberFormat="1" applyFont="1" applyBorder="1" applyAlignment="1">
      <alignment horizontal="distributed" vertical="center" indent="2"/>
    </xf>
    <xf numFmtId="5" fontId="19" fillId="0" borderId="4" xfId="3" applyNumberFormat="1" applyFont="1" applyBorder="1" applyAlignment="1">
      <alignment horizontal="distributed" vertical="center" indent="2"/>
    </xf>
    <xf numFmtId="0" fontId="39" fillId="19" borderId="0" xfId="1" applyFont="1" applyFill="1">
      <alignment vertical="center"/>
    </xf>
    <xf numFmtId="0" fontId="15" fillId="11" borderId="0" xfId="1" quotePrefix="1" applyFont="1" applyFill="1" applyAlignment="1">
      <alignment horizontal="center" vertical="center"/>
    </xf>
    <xf numFmtId="0" fontId="41" fillId="0" borderId="0" xfId="0" applyFont="1">
      <alignment vertical="center"/>
    </xf>
    <xf numFmtId="14" fontId="41" fillId="0" borderId="0" xfId="0" applyNumberFormat="1" applyFont="1">
      <alignment vertical="center"/>
    </xf>
    <xf numFmtId="0" fontId="41" fillId="0" borderId="0" xfId="0" applyFont="1" applyAlignment="1">
      <alignment vertical="center" wrapText="1"/>
    </xf>
    <xf numFmtId="5" fontId="16" fillId="0" borderId="4" xfId="3" applyNumberFormat="1" applyFont="1" applyBorder="1" applyAlignment="1">
      <alignment horizontal="distributed" vertical="center" indent="4"/>
    </xf>
    <xf numFmtId="0" fontId="20" fillId="0" borderId="0" xfId="1" applyFont="1" applyAlignment="1">
      <alignment horizontal="left" vertical="center"/>
    </xf>
    <xf numFmtId="0" fontId="2" fillId="0" borderId="0" xfId="1" applyFont="1" applyAlignment="1">
      <alignment horizontal="left" vertical="center"/>
    </xf>
    <xf numFmtId="0" fontId="20" fillId="0" borderId="0" xfId="1" applyFont="1" applyAlignment="1">
      <alignment horizontal="center" vertical="center"/>
    </xf>
    <xf numFmtId="176" fontId="20" fillId="0" borderId="0" xfId="1" applyNumberFormat="1" applyFont="1" applyAlignment="1">
      <alignment horizontal="center" vertical="center"/>
    </xf>
    <xf numFmtId="176" fontId="20" fillId="0" borderId="0" xfId="2" applyNumberFormat="1" applyFont="1" applyFill="1" applyBorder="1" applyAlignment="1">
      <alignment horizontal="center" vertical="center"/>
    </xf>
    <xf numFmtId="38" fontId="20" fillId="0" borderId="0" xfId="2" applyFont="1" applyFill="1" applyBorder="1">
      <alignment vertical="center"/>
    </xf>
    <xf numFmtId="179" fontId="20" fillId="0" borderId="0" xfId="1" applyNumberFormat="1" applyFont="1" applyAlignment="1">
      <alignment horizontal="left" vertical="center"/>
    </xf>
    <xf numFmtId="176" fontId="20" fillId="0" borderId="0" xfId="1" applyNumberFormat="1" applyFont="1" applyAlignment="1">
      <alignment horizontal="left" vertical="center"/>
    </xf>
    <xf numFmtId="0" fontId="20" fillId="0" borderId="0" xfId="1" applyFont="1">
      <alignment vertical="center"/>
    </xf>
    <xf numFmtId="14" fontId="20" fillId="0" borderId="0" xfId="1" applyNumberFormat="1" applyFont="1">
      <alignment vertical="center"/>
    </xf>
    <xf numFmtId="176" fontId="42" fillId="0" borderId="0" xfId="1" applyNumberFormat="1" applyFont="1">
      <alignment vertical="center"/>
    </xf>
    <xf numFmtId="0" fontId="20" fillId="9" borderId="3" xfId="3" applyFont="1" applyFill="1" applyBorder="1" applyAlignment="1">
      <alignment horizontal="center" vertical="center"/>
    </xf>
    <xf numFmtId="0" fontId="20" fillId="9" borderId="3" xfId="3" applyFont="1" applyFill="1" applyBorder="1" applyAlignment="1">
      <alignment horizontal="left" vertical="center"/>
    </xf>
    <xf numFmtId="176" fontId="20" fillId="9" borderId="3" xfId="3" applyNumberFormat="1" applyFont="1" applyFill="1" applyBorder="1" applyAlignment="1">
      <alignment horizontal="center" vertical="center"/>
    </xf>
    <xf numFmtId="38" fontId="20" fillId="9" borderId="3" xfId="2" applyFont="1" applyFill="1" applyBorder="1" applyAlignment="1">
      <alignment horizontal="right" vertical="center"/>
    </xf>
    <xf numFmtId="177" fontId="20" fillId="9" borderId="4" xfId="3" applyNumberFormat="1" applyFont="1" applyFill="1" applyBorder="1" applyAlignment="1">
      <alignment horizontal="center" vertical="center" wrapText="1"/>
    </xf>
    <xf numFmtId="179" fontId="20" fillId="9" borderId="3" xfId="3" applyNumberFormat="1" applyFont="1" applyFill="1" applyBorder="1" applyAlignment="1">
      <alignment horizontal="left" vertical="center" wrapText="1"/>
    </xf>
    <xf numFmtId="176" fontId="20" fillId="10" borderId="3" xfId="3" applyNumberFormat="1" applyFont="1" applyFill="1" applyBorder="1" applyAlignment="1">
      <alignment horizontal="center" vertical="center" wrapText="1"/>
    </xf>
    <xf numFmtId="176" fontId="20" fillId="10" borderId="4" xfId="3" applyNumberFormat="1" applyFont="1" applyFill="1" applyBorder="1" applyAlignment="1">
      <alignment horizontal="left" vertical="center" wrapText="1"/>
    </xf>
    <xf numFmtId="176" fontId="20" fillId="10" borderId="5" xfId="3" applyNumberFormat="1" applyFont="1" applyFill="1" applyBorder="1" applyAlignment="1">
      <alignment horizontal="left" vertical="center" wrapText="1"/>
    </xf>
    <xf numFmtId="179" fontId="20" fillId="9" borderId="5" xfId="3" applyNumberFormat="1" applyFont="1" applyFill="1" applyBorder="1" applyAlignment="1">
      <alignment horizontal="center" vertical="center" wrapText="1"/>
    </xf>
    <xf numFmtId="176" fontId="20" fillId="10" borderId="5" xfId="3" applyNumberFormat="1" applyFont="1" applyFill="1" applyBorder="1" applyAlignment="1">
      <alignment horizontal="left" vertical="center"/>
    </xf>
    <xf numFmtId="0" fontId="43" fillId="0" borderId="5" xfId="4" applyFont="1" applyBorder="1" applyAlignment="1">
      <alignment horizontal="center" vertical="center"/>
    </xf>
    <xf numFmtId="0" fontId="43" fillId="0" borderId="5" xfId="3" applyFont="1" applyBorder="1" applyAlignment="1">
      <alignment horizontal="center" vertical="center"/>
    </xf>
    <xf numFmtId="0" fontId="43" fillId="0" borderId="5" xfId="4" applyFont="1" applyBorder="1" applyAlignment="1">
      <alignment horizontal="left" vertical="center"/>
    </xf>
    <xf numFmtId="176" fontId="43" fillId="0" borderId="5" xfId="4" applyNumberFormat="1" applyFont="1" applyBorder="1" applyAlignment="1">
      <alignment horizontal="center" vertical="center"/>
    </xf>
    <xf numFmtId="176" fontId="43" fillId="0" borderId="5" xfId="2" applyNumberFormat="1" applyFont="1" applyFill="1" applyBorder="1" applyAlignment="1">
      <alignment horizontal="center" vertical="center"/>
    </xf>
    <xf numFmtId="38" fontId="43" fillId="0" borderId="5" xfId="2" applyFont="1" applyFill="1" applyBorder="1">
      <alignment vertical="center"/>
    </xf>
    <xf numFmtId="0" fontId="43" fillId="0" borderId="5" xfId="1" applyFont="1" applyBorder="1" applyAlignment="1">
      <alignment horizontal="center" vertical="center"/>
    </xf>
    <xf numFmtId="176" fontId="20" fillId="0" borderId="5" xfId="4" applyNumberFormat="1" applyFont="1" applyBorder="1" applyAlignment="1">
      <alignment horizontal="center" vertical="center"/>
    </xf>
    <xf numFmtId="176" fontId="20" fillId="0" borderId="5" xfId="1" applyNumberFormat="1" applyFont="1" applyBorder="1" applyAlignment="1">
      <alignment horizontal="center" vertical="center"/>
    </xf>
    <xf numFmtId="176" fontId="20" fillId="0" borderId="5" xfId="1" applyNumberFormat="1" applyFont="1" applyBorder="1" applyAlignment="1">
      <alignment horizontal="left" vertical="center"/>
    </xf>
    <xf numFmtId="0" fontId="43" fillId="0" borderId="5" xfId="4" applyFont="1" applyBorder="1" applyAlignment="1">
      <alignment horizontal="left" vertical="center" wrapText="1"/>
    </xf>
    <xf numFmtId="176" fontId="43" fillId="0" borderId="5" xfId="3" applyNumberFormat="1" applyFont="1" applyBorder="1" applyAlignment="1">
      <alignment horizontal="center" vertical="center"/>
    </xf>
    <xf numFmtId="38" fontId="43" fillId="0" borderId="5" xfId="2" applyFont="1" applyFill="1" applyBorder="1" applyAlignment="1">
      <alignment horizontal="right" vertical="center"/>
    </xf>
    <xf numFmtId="14" fontId="43" fillId="0" borderId="5" xfId="3" applyNumberFormat="1" applyFont="1" applyBorder="1" applyAlignment="1">
      <alignment horizontal="left" vertical="center" wrapText="1"/>
    </xf>
    <xf numFmtId="176" fontId="20" fillId="0" borderId="5" xfId="1" applyNumberFormat="1" applyFont="1" applyBorder="1" applyAlignment="1">
      <alignment horizontal="left" vertical="center" wrapText="1"/>
    </xf>
    <xf numFmtId="0" fontId="20" fillId="0" borderId="5" xfId="3" applyFont="1" applyBorder="1" applyAlignment="1">
      <alignment horizontal="center" vertical="center"/>
    </xf>
    <xf numFmtId="0" fontId="20" fillId="0" borderId="5" xfId="3" applyFont="1" applyBorder="1" applyAlignment="1">
      <alignment horizontal="left" vertical="center"/>
    </xf>
    <xf numFmtId="176" fontId="20" fillId="0" borderId="5" xfId="3" applyNumberFormat="1" applyFont="1" applyBorder="1" applyAlignment="1">
      <alignment horizontal="center" vertical="center"/>
    </xf>
    <xf numFmtId="176" fontId="20" fillId="0" borderId="5" xfId="2" applyNumberFormat="1" applyFont="1" applyFill="1" applyBorder="1" applyAlignment="1">
      <alignment horizontal="center" vertical="center"/>
    </xf>
    <xf numFmtId="38" fontId="20" fillId="0" borderId="5" xfId="2" applyFont="1" applyFill="1" applyBorder="1" applyAlignment="1">
      <alignment horizontal="right" vertical="center"/>
    </xf>
    <xf numFmtId="0" fontId="20" fillId="0" borderId="5" xfId="4" applyFont="1" applyBorder="1" applyAlignment="1">
      <alignment horizontal="left" vertical="center"/>
    </xf>
    <xf numFmtId="14" fontId="43" fillId="0" borderId="5" xfId="4" applyNumberFormat="1" applyFont="1" applyBorder="1" applyAlignment="1">
      <alignment horizontal="left" vertical="center"/>
    </xf>
    <xf numFmtId="38" fontId="20" fillId="0" borderId="5" xfId="2" applyFont="1" applyFill="1" applyBorder="1">
      <alignment vertical="center"/>
    </xf>
    <xf numFmtId="14" fontId="20" fillId="0" borderId="5" xfId="4" applyNumberFormat="1" applyFont="1" applyBorder="1" applyAlignment="1">
      <alignment horizontal="left" vertical="center"/>
    </xf>
    <xf numFmtId="176" fontId="20" fillId="12" borderId="5" xfId="1" applyNumberFormat="1" applyFont="1" applyFill="1" applyBorder="1" applyAlignment="1">
      <alignment horizontal="left" vertical="center" wrapText="1"/>
    </xf>
    <xf numFmtId="0" fontId="20" fillId="0" borderId="5" xfId="1" applyFont="1" applyBorder="1" applyAlignment="1">
      <alignment horizontal="left" vertical="center"/>
    </xf>
    <xf numFmtId="14" fontId="20" fillId="0" borderId="5" xfId="1" applyNumberFormat="1" applyFont="1" applyBorder="1" applyAlignment="1">
      <alignment horizontal="center" vertical="center"/>
    </xf>
    <xf numFmtId="0" fontId="20" fillId="21" borderId="5" xfId="4" applyFont="1" applyFill="1" applyBorder="1" applyAlignment="1">
      <alignment horizontal="center" vertical="center"/>
    </xf>
    <xf numFmtId="0" fontId="20" fillId="21" borderId="5" xfId="4" applyFont="1" applyFill="1" applyBorder="1" applyAlignment="1">
      <alignment horizontal="left" vertical="center"/>
    </xf>
    <xf numFmtId="176" fontId="20" fillId="21" borderId="5" xfId="4" applyNumberFormat="1" applyFont="1" applyFill="1" applyBorder="1" applyAlignment="1">
      <alignment horizontal="center" vertical="center"/>
    </xf>
    <xf numFmtId="176" fontId="20" fillId="21" borderId="5" xfId="2" applyNumberFormat="1" applyFont="1" applyFill="1" applyBorder="1" applyAlignment="1">
      <alignment horizontal="center" vertical="center"/>
    </xf>
    <xf numFmtId="38" fontId="20" fillId="21" borderId="5" xfId="2" applyFont="1" applyFill="1" applyBorder="1">
      <alignment vertical="center"/>
    </xf>
    <xf numFmtId="0" fontId="20" fillId="21" borderId="5" xfId="1" applyFont="1" applyFill="1" applyBorder="1" applyAlignment="1">
      <alignment horizontal="center" vertical="center"/>
    </xf>
    <xf numFmtId="14" fontId="20" fillId="21" borderId="5" xfId="4" applyNumberFormat="1" applyFont="1" applyFill="1" applyBorder="1" applyAlignment="1">
      <alignment horizontal="center" vertical="center"/>
    </xf>
    <xf numFmtId="176" fontId="20" fillId="21" borderId="5" xfId="1" applyNumberFormat="1" applyFont="1" applyFill="1" applyBorder="1" applyAlignment="1">
      <alignment horizontal="center" vertical="center"/>
    </xf>
    <xf numFmtId="176" fontId="20" fillId="21" borderId="5" xfId="1" applyNumberFormat="1" applyFont="1" applyFill="1" applyBorder="1" applyAlignment="1">
      <alignment horizontal="left" vertical="center" wrapText="1"/>
    </xf>
    <xf numFmtId="0" fontId="20" fillId="12" borderId="5" xfId="4" applyFont="1" applyFill="1" applyBorder="1" applyAlignment="1">
      <alignment horizontal="center" vertical="center"/>
    </xf>
    <xf numFmtId="0" fontId="20" fillId="12" borderId="5" xfId="1" applyFont="1" applyFill="1" applyBorder="1" applyAlignment="1">
      <alignment horizontal="left" vertical="center"/>
    </xf>
    <xf numFmtId="176" fontId="20" fillId="12" borderId="5" xfId="1" applyNumberFormat="1" applyFont="1" applyFill="1" applyBorder="1" applyAlignment="1">
      <alignment horizontal="center" vertical="center"/>
    </xf>
    <xf numFmtId="176" fontId="20" fillId="12" borderId="5" xfId="2" applyNumberFormat="1" applyFont="1" applyFill="1" applyBorder="1" applyAlignment="1">
      <alignment horizontal="center" vertical="center"/>
    </xf>
    <xf numFmtId="38" fontId="20" fillId="12" borderId="5" xfId="2" applyFont="1" applyFill="1" applyBorder="1">
      <alignment vertical="center"/>
    </xf>
    <xf numFmtId="14" fontId="20" fillId="12" borderId="5" xfId="1" applyNumberFormat="1" applyFont="1" applyFill="1" applyBorder="1" applyAlignment="1">
      <alignment horizontal="left" vertical="center"/>
    </xf>
    <xf numFmtId="14" fontId="20" fillId="0" borderId="5" xfId="1" applyNumberFormat="1" applyFont="1" applyBorder="1" applyAlignment="1">
      <alignment horizontal="left" vertical="center"/>
    </xf>
    <xf numFmtId="0" fontId="43" fillId="0" borderId="5" xfId="1" applyFont="1" applyBorder="1" applyAlignment="1">
      <alignment horizontal="left" vertical="center"/>
    </xf>
    <xf numFmtId="176" fontId="43" fillId="0" borderId="5" xfId="1" applyNumberFormat="1" applyFont="1" applyBorder="1" applyAlignment="1">
      <alignment horizontal="center" vertical="center"/>
    </xf>
    <xf numFmtId="14" fontId="43" fillId="0" borderId="5" xfId="1" applyNumberFormat="1" applyFont="1" applyBorder="1" applyAlignment="1">
      <alignment horizontal="left" vertical="center"/>
    </xf>
    <xf numFmtId="176" fontId="20" fillId="0" borderId="5" xfId="3" applyNumberFormat="1" applyFont="1" applyBorder="1" applyAlignment="1">
      <alignment horizontal="left" vertical="center"/>
    </xf>
    <xf numFmtId="176" fontId="20" fillId="21" borderId="5" xfId="1" applyNumberFormat="1" applyFont="1" applyFill="1" applyBorder="1" applyAlignment="1">
      <alignment horizontal="left" vertical="center"/>
    </xf>
    <xf numFmtId="0" fontId="20" fillId="0" borderId="5" xfId="3" applyFont="1" applyBorder="1" applyAlignment="1">
      <alignment horizontal="center" vertical="center" wrapText="1"/>
    </xf>
    <xf numFmtId="0" fontId="20" fillId="0" borderId="5" xfId="1" applyFont="1" applyBorder="1" applyAlignment="1">
      <alignment horizontal="left" vertical="center" wrapText="1"/>
    </xf>
    <xf numFmtId="176" fontId="20" fillId="21" borderId="6" xfId="2" applyNumberFormat="1" applyFont="1" applyFill="1" applyBorder="1" applyAlignment="1">
      <alignment horizontal="center" vertical="center"/>
    </xf>
    <xf numFmtId="14" fontId="20" fillId="21" borderId="5" xfId="4" applyNumberFormat="1" applyFont="1" applyFill="1" applyBorder="1" applyAlignment="1">
      <alignment horizontal="left" vertical="center"/>
    </xf>
    <xf numFmtId="176" fontId="20" fillId="21" borderId="5" xfId="3" applyNumberFormat="1" applyFont="1" applyFill="1" applyBorder="1" applyAlignment="1">
      <alignment horizontal="center" vertical="center"/>
    </xf>
    <xf numFmtId="179" fontId="43" fillId="0" borderId="5" xfId="1" applyNumberFormat="1" applyFont="1" applyBorder="1" applyAlignment="1">
      <alignment horizontal="left" vertical="center" wrapText="1"/>
    </xf>
    <xf numFmtId="176" fontId="43" fillId="0" borderId="5" xfId="1" applyNumberFormat="1" applyFont="1" applyBorder="1" applyAlignment="1">
      <alignment horizontal="left" vertical="center"/>
    </xf>
    <xf numFmtId="176" fontId="20" fillId="0" borderId="5" xfId="1" quotePrefix="1" applyNumberFormat="1" applyFont="1" applyBorder="1" applyAlignment="1">
      <alignment horizontal="left" vertical="center"/>
    </xf>
    <xf numFmtId="176" fontId="20" fillId="0" borderId="5" xfId="1" quotePrefix="1" applyNumberFormat="1" applyFont="1" applyBorder="1" applyAlignment="1">
      <alignment horizontal="center" vertical="center"/>
    </xf>
    <xf numFmtId="0" fontId="43" fillId="12" borderId="5" xfId="1" applyFont="1" applyFill="1" applyBorder="1" applyAlignment="1">
      <alignment horizontal="center" vertical="center"/>
    </xf>
    <xf numFmtId="0" fontId="43" fillId="12" borderId="5" xfId="4" applyFont="1" applyFill="1" applyBorder="1" applyAlignment="1">
      <alignment horizontal="center" vertical="center"/>
    </xf>
    <xf numFmtId="0" fontId="43" fillId="12" borderId="5" xfId="1" applyFont="1" applyFill="1" applyBorder="1" applyAlignment="1">
      <alignment horizontal="left" vertical="center"/>
    </xf>
    <xf numFmtId="176" fontId="43" fillId="12" borderId="5" xfId="1" applyNumberFormat="1" applyFont="1" applyFill="1" applyBorder="1" applyAlignment="1">
      <alignment horizontal="center" vertical="center"/>
    </xf>
    <xf numFmtId="176" fontId="43" fillId="12" borderId="5" xfId="2" applyNumberFormat="1" applyFont="1" applyFill="1" applyBorder="1" applyAlignment="1">
      <alignment horizontal="center" vertical="center"/>
    </xf>
    <xf numFmtId="38" fontId="43" fillId="12" borderId="5" xfId="2" applyFont="1" applyFill="1" applyBorder="1" applyAlignment="1">
      <alignment horizontal="right" vertical="center"/>
    </xf>
    <xf numFmtId="14" fontId="43" fillId="12" borderId="5" xfId="1" applyNumberFormat="1" applyFont="1" applyFill="1" applyBorder="1" applyAlignment="1">
      <alignment horizontal="left" vertical="center"/>
    </xf>
    <xf numFmtId="176" fontId="20" fillId="12" borderId="5" xfId="1" applyNumberFormat="1" applyFont="1" applyFill="1" applyBorder="1" applyAlignment="1">
      <alignment horizontal="left" vertical="center"/>
    </xf>
    <xf numFmtId="178" fontId="20" fillId="21" borderId="5" xfId="4" applyNumberFormat="1" applyFont="1" applyFill="1" applyBorder="1" applyAlignment="1">
      <alignment horizontal="center" vertical="center"/>
    </xf>
    <xf numFmtId="178" fontId="20" fillId="21" borderId="5" xfId="2" applyNumberFormat="1" applyFont="1" applyFill="1" applyBorder="1" applyAlignment="1">
      <alignment horizontal="center" vertical="center"/>
    </xf>
    <xf numFmtId="178" fontId="20" fillId="21" borderId="5" xfId="1" applyNumberFormat="1" applyFont="1" applyFill="1" applyBorder="1" applyAlignment="1">
      <alignment horizontal="center" vertical="center"/>
    </xf>
    <xf numFmtId="0" fontId="20" fillId="21" borderId="5" xfId="1" applyFont="1" applyFill="1" applyBorder="1" applyAlignment="1">
      <alignment horizontal="left" vertical="center"/>
    </xf>
    <xf numFmtId="177" fontId="20" fillId="21" borderId="5" xfId="3" applyNumberFormat="1" applyFont="1" applyFill="1" applyBorder="1" applyAlignment="1">
      <alignment horizontal="center" vertical="center"/>
    </xf>
    <xf numFmtId="14" fontId="20" fillId="21" borderId="5" xfId="1" applyNumberFormat="1" applyFont="1" applyFill="1" applyBorder="1" applyAlignment="1">
      <alignment horizontal="left" vertical="center"/>
    </xf>
    <xf numFmtId="176" fontId="20" fillId="0" borderId="5" xfId="4" quotePrefix="1" applyNumberFormat="1" applyFont="1" applyBorder="1" applyAlignment="1">
      <alignment horizontal="center" vertical="center"/>
    </xf>
    <xf numFmtId="176" fontId="20" fillId="21" borderId="5" xfId="4" quotePrefix="1" applyNumberFormat="1" applyFont="1" applyFill="1" applyBorder="1" applyAlignment="1">
      <alignment horizontal="center" vertical="center"/>
    </xf>
    <xf numFmtId="0" fontId="43" fillId="0" borderId="5" xfId="1" applyFont="1" applyBorder="1" applyAlignment="1">
      <alignment horizontal="left" vertical="center" wrapText="1"/>
    </xf>
    <xf numFmtId="176" fontId="43" fillId="0" borderId="5" xfId="1" quotePrefix="1" applyNumberFormat="1" applyFont="1" applyBorder="1" applyAlignment="1">
      <alignment horizontal="center" vertical="center"/>
    </xf>
    <xf numFmtId="14" fontId="43" fillId="0" borderId="5" xfId="1" applyNumberFormat="1" applyFont="1" applyBorder="1" applyAlignment="1">
      <alignment horizontal="left" vertical="center" wrapText="1"/>
    </xf>
    <xf numFmtId="0" fontId="43" fillId="21" borderId="5" xfId="1" applyFont="1" applyFill="1" applyBorder="1" applyAlignment="1">
      <alignment horizontal="center" vertical="center"/>
    </xf>
    <xf numFmtId="0" fontId="43" fillId="21" borderId="5" xfId="4" applyFont="1" applyFill="1" applyBorder="1" applyAlignment="1">
      <alignment horizontal="center" vertical="center"/>
    </xf>
    <xf numFmtId="0" fontId="43" fillId="21" borderId="5" xfId="1" applyFont="1" applyFill="1" applyBorder="1" applyAlignment="1">
      <alignment horizontal="left" vertical="center"/>
    </xf>
    <xf numFmtId="176" fontId="43" fillId="21" borderId="5" xfId="1" applyNumberFormat="1" applyFont="1" applyFill="1" applyBorder="1" applyAlignment="1">
      <alignment horizontal="center" vertical="center"/>
    </xf>
    <xf numFmtId="176" fontId="43" fillId="21" borderId="5" xfId="2" applyNumberFormat="1" applyFont="1" applyFill="1" applyBorder="1" applyAlignment="1">
      <alignment horizontal="center" vertical="center"/>
    </xf>
    <xf numFmtId="38" fontId="43" fillId="21" borderId="5" xfId="2" applyFont="1" applyFill="1" applyBorder="1">
      <alignment vertical="center"/>
    </xf>
    <xf numFmtId="14" fontId="43" fillId="21" borderId="5" xfId="1" applyNumberFormat="1" applyFont="1" applyFill="1" applyBorder="1" applyAlignment="1">
      <alignment horizontal="left" vertical="center"/>
    </xf>
    <xf numFmtId="176" fontId="20" fillId="21" borderId="0" xfId="2" applyNumberFormat="1" applyFont="1" applyFill="1" applyBorder="1" applyAlignment="1">
      <alignment horizontal="center" vertical="center"/>
    </xf>
    <xf numFmtId="176" fontId="43" fillId="12" borderId="5" xfId="1" applyNumberFormat="1" applyFont="1" applyFill="1" applyBorder="1" applyAlignment="1">
      <alignment horizontal="left" vertical="center"/>
    </xf>
    <xf numFmtId="177" fontId="20" fillId="0" borderId="5" xfId="3" applyNumberFormat="1" applyFont="1" applyBorder="1" applyAlignment="1">
      <alignment horizontal="center" vertical="center"/>
    </xf>
    <xf numFmtId="176" fontId="20" fillId="21" borderId="5" xfId="1" applyNumberFormat="1" applyFont="1" applyFill="1" applyBorder="1" applyAlignment="1">
      <alignment horizontal="center" vertical="center" wrapText="1"/>
    </xf>
    <xf numFmtId="178" fontId="20" fillId="0" borderId="5" xfId="1" applyNumberFormat="1" applyFont="1" applyBorder="1" applyAlignment="1">
      <alignment horizontal="center" vertical="center"/>
    </xf>
    <xf numFmtId="176" fontId="20" fillId="0" borderId="5" xfId="1" applyNumberFormat="1" applyFont="1" applyBorder="1" applyAlignment="1">
      <alignment horizontal="center" vertical="center" wrapText="1"/>
    </xf>
    <xf numFmtId="177" fontId="20" fillId="12" borderId="5" xfId="3" applyNumberFormat="1" applyFont="1" applyFill="1" applyBorder="1" applyAlignment="1">
      <alignment horizontal="center" vertical="center"/>
    </xf>
    <xf numFmtId="14" fontId="12" fillId="12" borderId="5" xfId="1" applyNumberFormat="1" applyFont="1" applyFill="1" applyBorder="1" applyAlignment="1">
      <alignment horizontal="left" vertical="center"/>
    </xf>
    <xf numFmtId="14" fontId="20" fillId="21" borderId="5" xfId="1" applyNumberFormat="1" applyFont="1" applyFill="1" applyBorder="1" applyAlignment="1">
      <alignment horizontal="left" vertical="center" wrapText="1"/>
    </xf>
    <xf numFmtId="38" fontId="43" fillId="12" borderId="5" xfId="2" applyFont="1" applyFill="1" applyBorder="1">
      <alignment vertical="center"/>
    </xf>
    <xf numFmtId="177" fontId="43" fillId="0" borderId="5" xfId="3" applyNumberFormat="1" applyFont="1" applyBorder="1" applyAlignment="1">
      <alignment horizontal="center" vertical="center"/>
    </xf>
    <xf numFmtId="176" fontId="43" fillId="12" borderId="9" xfId="2" applyNumberFormat="1" applyFont="1" applyFill="1" applyBorder="1" applyAlignment="1">
      <alignment horizontal="center" vertical="center"/>
    </xf>
    <xf numFmtId="38" fontId="43" fillId="12" borderId="9" xfId="2" applyFont="1" applyFill="1" applyBorder="1">
      <alignment vertical="center"/>
    </xf>
    <xf numFmtId="176" fontId="43" fillId="12" borderId="2" xfId="2" applyNumberFormat="1" applyFont="1" applyFill="1" applyBorder="1" applyAlignment="1">
      <alignment horizontal="center" vertical="center"/>
    </xf>
    <xf numFmtId="0" fontId="43" fillId="12" borderId="4" xfId="1" applyFont="1" applyFill="1" applyBorder="1" applyAlignment="1">
      <alignment horizontal="center" vertical="center"/>
    </xf>
    <xf numFmtId="14" fontId="43" fillId="12" borderId="5" xfId="1" applyNumberFormat="1" applyFont="1" applyFill="1" applyBorder="1" applyAlignment="1">
      <alignment horizontal="left" vertical="center" wrapText="1"/>
    </xf>
    <xf numFmtId="176" fontId="43" fillId="21" borderId="2" xfId="2" applyNumberFormat="1" applyFont="1" applyFill="1" applyBorder="1" applyAlignment="1">
      <alignment horizontal="center" vertical="center"/>
    </xf>
    <xf numFmtId="0" fontId="43" fillId="21" borderId="4" xfId="1" applyFont="1" applyFill="1" applyBorder="1" applyAlignment="1">
      <alignment horizontal="center" vertical="center"/>
    </xf>
    <xf numFmtId="176" fontId="43" fillId="12" borderId="10" xfId="2" applyNumberFormat="1" applyFont="1" applyFill="1" applyBorder="1" applyAlignment="1">
      <alignment horizontal="center" vertical="center"/>
    </xf>
    <xf numFmtId="38" fontId="43" fillId="12" borderId="10" xfId="2" applyFont="1" applyFill="1" applyBorder="1">
      <alignment vertical="center"/>
    </xf>
    <xf numFmtId="176" fontId="43" fillId="12" borderId="5" xfId="1" applyNumberFormat="1" applyFont="1" applyFill="1" applyBorder="1" applyAlignment="1">
      <alignment horizontal="left" vertical="center" wrapText="1"/>
    </xf>
    <xf numFmtId="176" fontId="12" fillId="12" borderId="5" xfId="1" applyNumberFormat="1" applyFont="1" applyFill="1" applyBorder="1" applyAlignment="1">
      <alignment horizontal="center" vertical="center"/>
    </xf>
    <xf numFmtId="176" fontId="20" fillId="0" borderId="4" xfId="1" applyNumberFormat="1" applyFont="1" applyBorder="1" applyAlignment="1">
      <alignment horizontal="center" vertical="center"/>
    </xf>
    <xf numFmtId="176" fontId="20" fillId="12" borderId="4" xfId="1" applyNumberFormat="1" applyFont="1" applyFill="1" applyBorder="1" applyAlignment="1">
      <alignment horizontal="center" vertical="center"/>
    </xf>
    <xf numFmtId="38" fontId="43" fillId="22" borderId="5" xfId="2" applyFont="1" applyFill="1" applyBorder="1">
      <alignment vertical="center"/>
    </xf>
    <xf numFmtId="176" fontId="20" fillId="12" borderId="5" xfId="1" applyNumberFormat="1" applyFont="1" applyFill="1" applyBorder="1" applyAlignment="1">
      <alignment horizontal="center" vertical="center" wrapText="1"/>
    </xf>
    <xf numFmtId="0" fontId="44" fillId="21" borderId="0" xfId="0" applyFont="1" applyFill="1">
      <alignment vertical="center"/>
    </xf>
    <xf numFmtId="0" fontId="43" fillId="23" borderId="5" xfId="1" applyFont="1" applyFill="1" applyBorder="1" applyAlignment="1">
      <alignment horizontal="center" vertical="center"/>
    </xf>
    <xf numFmtId="0" fontId="43" fillId="23" borderId="5" xfId="1" applyFont="1" applyFill="1" applyBorder="1" applyAlignment="1">
      <alignment horizontal="left" vertical="center"/>
    </xf>
    <xf numFmtId="176" fontId="43" fillId="23" borderId="5" xfId="1" applyNumberFormat="1" applyFont="1" applyFill="1" applyBorder="1" applyAlignment="1">
      <alignment horizontal="center" vertical="center"/>
    </xf>
    <xf numFmtId="176" fontId="43" fillId="23" borderId="5" xfId="2" applyNumberFormat="1" applyFont="1" applyFill="1" applyBorder="1" applyAlignment="1">
      <alignment horizontal="center" vertical="center"/>
    </xf>
    <xf numFmtId="38" fontId="43" fillId="23" borderId="5" xfId="2" applyFont="1" applyFill="1" applyBorder="1">
      <alignment vertical="center"/>
    </xf>
    <xf numFmtId="14" fontId="43" fillId="23" borderId="5" xfId="1" applyNumberFormat="1" applyFont="1" applyFill="1" applyBorder="1" applyAlignment="1">
      <alignment horizontal="left" vertical="center"/>
    </xf>
    <xf numFmtId="176" fontId="43" fillId="23" borderId="5" xfId="1" applyNumberFormat="1" applyFont="1" applyFill="1" applyBorder="1" applyAlignment="1">
      <alignment horizontal="left" vertical="center"/>
    </xf>
    <xf numFmtId="14" fontId="43" fillId="11" borderId="5" xfId="1" applyNumberFormat="1" applyFont="1" applyFill="1" applyBorder="1" applyAlignment="1">
      <alignment horizontal="left" vertical="center" wrapText="1"/>
    </xf>
    <xf numFmtId="176" fontId="43" fillId="0" borderId="5" xfId="2" quotePrefix="1" applyNumberFormat="1" applyFont="1" applyFill="1" applyBorder="1" applyAlignment="1">
      <alignment horizontal="center" vertical="center"/>
    </xf>
    <xf numFmtId="14" fontId="12" fillId="11" borderId="5" xfId="1" applyNumberFormat="1" applyFont="1" applyFill="1" applyBorder="1" applyAlignment="1">
      <alignment horizontal="left" vertical="center" wrapText="1"/>
    </xf>
    <xf numFmtId="179" fontId="43" fillId="0" borderId="5" xfId="1" applyNumberFormat="1" applyFont="1" applyBorder="1" applyAlignment="1">
      <alignment horizontal="left" vertical="center"/>
    </xf>
    <xf numFmtId="179" fontId="43" fillId="12" borderId="5" xfId="1" applyNumberFormat="1" applyFont="1" applyFill="1" applyBorder="1" applyAlignment="1">
      <alignment horizontal="left" vertical="center"/>
    </xf>
    <xf numFmtId="179" fontId="12" fillId="0" borderId="5" xfId="1" applyNumberFormat="1" applyFont="1" applyBorder="1" applyAlignment="1">
      <alignment horizontal="left" vertical="center" wrapText="1"/>
    </xf>
    <xf numFmtId="0" fontId="12" fillId="0" borderId="5" xfId="1" applyFont="1" applyBorder="1" applyAlignment="1">
      <alignment horizontal="center" vertical="center"/>
    </xf>
    <xf numFmtId="0" fontId="2" fillId="0" borderId="0" xfId="1" applyFont="1" applyAlignment="1">
      <alignment horizontal="center" vertical="center"/>
    </xf>
    <xf numFmtId="176" fontId="2" fillId="0" borderId="0" xfId="1" applyNumberFormat="1" applyFont="1" applyAlignment="1">
      <alignment horizontal="center" vertical="center"/>
    </xf>
    <xf numFmtId="176" fontId="2" fillId="0" borderId="0" xfId="2" applyNumberFormat="1" applyFont="1" applyAlignment="1">
      <alignment horizontal="center" vertical="center"/>
    </xf>
    <xf numFmtId="38" fontId="2" fillId="0" borderId="0" xfId="2" applyFont="1">
      <alignment vertical="center"/>
    </xf>
    <xf numFmtId="179" fontId="2" fillId="0" borderId="0" xfId="1" applyNumberFormat="1" applyFont="1" applyAlignment="1">
      <alignment horizontal="left" vertical="center"/>
    </xf>
    <xf numFmtId="176" fontId="2" fillId="0" borderId="0" xfId="1" applyNumberFormat="1" applyFont="1" applyAlignment="1">
      <alignment horizontal="left" vertical="center"/>
    </xf>
    <xf numFmtId="0" fontId="2" fillId="0" borderId="0" xfId="1" applyFont="1">
      <alignment vertical="center"/>
    </xf>
    <xf numFmtId="14" fontId="2" fillId="0" borderId="0" xfId="1" applyNumberFormat="1" applyFont="1">
      <alignment vertical="center"/>
    </xf>
    <xf numFmtId="176" fontId="45" fillId="0" borderId="0" xfId="1" applyNumberFormat="1" applyFont="1">
      <alignment vertical="center"/>
    </xf>
    <xf numFmtId="0" fontId="2" fillId="2" borderId="3" xfId="3" applyFont="1" applyFill="1" applyBorder="1" applyAlignment="1">
      <alignment horizontal="center" vertical="center"/>
    </xf>
    <xf numFmtId="0" fontId="2" fillId="2" borderId="3" xfId="3" applyFont="1" applyFill="1" applyBorder="1" applyAlignment="1">
      <alignment horizontal="left" vertical="center"/>
    </xf>
    <xf numFmtId="176" fontId="2" fillId="2" borderId="3" xfId="3" applyNumberFormat="1" applyFont="1" applyFill="1" applyBorder="1" applyAlignment="1">
      <alignment horizontal="center" vertical="center"/>
    </xf>
    <xf numFmtId="38" fontId="2" fillId="2" borderId="3" xfId="2" applyFont="1" applyFill="1" applyBorder="1" applyAlignment="1">
      <alignment horizontal="right" vertical="center"/>
    </xf>
    <xf numFmtId="177" fontId="2" fillId="2" borderId="4" xfId="3" applyNumberFormat="1" applyFont="1" applyFill="1" applyBorder="1" applyAlignment="1">
      <alignment horizontal="center" vertical="center" wrapText="1"/>
    </xf>
    <xf numFmtId="179" fontId="2" fillId="2" borderId="3" xfId="3" applyNumberFormat="1" applyFont="1" applyFill="1" applyBorder="1" applyAlignment="1">
      <alignment horizontal="left" vertical="center" wrapText="1"/>
    </xf>
    <xf numFmtId="176" fontId="2" fillId="3" borderId="2" xfId="3" applyNumberFormat="1" applyFont="1" applyFill="1" applyBorder="1" applyAlignment="1">
      <alignment horizontal="center" vertical="center" wrapText="1"/>
    </xf>
    <xf numFmtId="176" fontId="2" fillId="3" borderId="3" xfId="3" applyNumberFormat="1" applyFont="1" applyFill="1" applyBorder="1" applyAlignment="1">
      <alignment horizontal="center" vertical="center" wrapText="1"/>
    </xf>
    <xf numFmtId="176" fontId="2" fillId="3" borderId="4" xfId="3" applyNumberFormat="1" applyFont="1" applyFill="1" applyBorder="1" applyAlignment="1">
      <alignment horizontal="left" vertical="center" wrapText="1"/>
    </xf>
    <xf numFmtId="176" fontId="2" fillId="3" borderId="5" xfId="3" applyNumberFormat="1" applyFont="1" applyFill="1" applyBorder="1" applyAlignment="1">
      <alignment horizontal="left" vertical="center" wrapText="1"/>
    </xf>
    <xf numFmtId="176" fontId="2" fillId="0" borderId="5" xfId="1" applyNumberFormat="1" applyFont="1" applyBorder="1" applyAlignment="1">
      <alignment horizontal="center" vertical="center"/>
    </xf>
    <xf numFmtId="176" fontId="2" fillId="0" borderId="5" xfId="1" applyNumberFormat="1" applyFont="1" applyBorder="1" applyAlignment="1">
      <alignment horizontal="left" vertical="center"/>
    </xf>
    <xf numFmtId="176" fontId="2" fillId="0" borderId="5" xfId="1" applyNumberFormat="1" applyFont="1" applyBorder="1" applyAlignment="1">
      <alignment horizontal="left" vertical="center" wrapText="1"/>
    </xf>
    <xf numFmtId="0" fontId="2" fillId="0" borderId="5" xfId="3" applyFont="1" applyBorder="1" applyAlignment="1">
      <alignment horizontal="center" vertical="center"/>
    </xf>
    <xf numFmtId="0" fontId="2" fillId="0" borderId="5" xfId="3" applyFont="1" applyBorder="1" applyAlignment="1">
      <alignment horizontal="left" vertical="center"/>
    </xf>
    <xf numFmtId="176" fontId="2" fillId="0" borderId="5" xfId="3" applyNumberFormat="1" applyFont="1" applyBorder="1" applyAlignment="1">
      <alignment horizontal="center" vertical="center"/>
    </xf>
    <xf numFmtId="176" fontId="2" fillId="0" borderId="5" xfId="2" applyNumberFormat="1" applyFont="1" applyBorder="1" applyAlignment="1">
      <alignment horizontal="center" vertical="center"/>
    </xf>
    <xf numFmtId="176" fontId="2" fillId="0" borderId="5" xfId="2" applyNumberFormat="1" applyFont="1" applyFill="1" applyBorder="1" applyAlignment="1">
      <alignment horizontal="center" vertical="center"/>
    </xf>
    <xf numFmtId="38" fontId="2" fillId="0" borderId="5" xfId="2" applyFont="1" applyFill="1" applyBorder="1" applyAlignment="1">
      <alignment horizontal="right" vertical="center"/>
    </xf>
    <xf numFmtId="0" fontId="2" fillId="0" borderId="5" xfId="4" applyFont="1" applyBorder="1" applyAlignment="1">
      <alignment horizontal="left" vertical="center"/>
    </xf>
    <xf numFmtId="0" fontId="43" fillId="24" borderId="5" xfId="1" applyFont="1" applyFill="1" applyBorder="1" applyAlignment="1">
      <alignment horizontal="center" vertical="center"/>
    </xf>
    <xf numFmtId="0" fontId="43" fillId="24" borderId="5" xfId="1" applyFont="1" applyFill="1" applyBorder="1" applyAlignment="1">
      <alignment horizontal="left" vertical="center"/>
    </xf>
    <xf numFmtId="176" fontId="43" fillId="24" borderId="5" xfId="1" applyNumberFormat="1" applyFont="1" applyFill="1" applyBorder="1" applyAlignment="1">
      <alignment horizontal="center" vertical="center"/>
    </xf>
    <xf numFmtId="176" fontId="43" fillId="24" borderId="5" xfId="2" applyNumberFormat="1" applyFont="1" applyFill="1" applyBorder="1" applyAlignment="1">
      <alignment horizontal="center" vertical="center"/>
    </xf>
    <xf numFmtId="14" fontId="43" fillId="24" borderId="5" xfId="1" applyNumberFormat="1" applyFont="1" applyFill="1" applyBorder="1" applyAlignment="1">
      <alignment horizontal="left" vertical="center"/>
    </xf>
    <xf numFmtId="176" fontId="43" fillId="24" borderId="5" xfId="1" applyNumberFormat="1" applyFont="1" applyFill="1" applyBorder="1" applyAlignment="1">
      <alignment horizontal="left" vertical="center"/>
    </xf>
    <xf numFmtId="38" fontId="43" fillId="24" borderId="5" xfId="2" applyFont="1" applyFill="1" applyBorder="1">
      <alignment vertical="center"/>
    </xf>
    <xf numFmtId="176" fontId="43" fillId="24" borderId="5" xfId="1" applyNumberFormat="1" applyFont="1" applyFill="1" applyBorder="1" applyAlignment="1">
      <alignment horizontal="left" vertical="center" wrapText="1"/>
    </xf>
    <xf numFmtId="0" fontId="43" fillId="25" borderId="5" xfId="1" applyFont="1" applyFill="1" applyBorder="1" applyAlignment="1">
      <alignment horizontal="center" vertical="center"/>
    </xf>
    <xf numFmtId="0" fontId="43" fillId="25" borderId="5" xfId="1" applyFont="1" applyFill="1" applyBorder="1" applyAlignment="1">
      <alignment horizontal="left" vertical="center"/>
    </xf>
    <xf numFmtId="176" fontId="43" fillId="25" borderId="5" xfId="1" applyNumberFormat="1" applyFont="1" applyFill="1" applyBorder="1" applyAlignment="1">
      <alignment horizontal="center" vertical="center"/>
    </xf>
    <xf numFmtId="176" fontId="43" fillId="25" borderId="5" xfId="2" applyNumberFormat="1" applyFont="1" applyFill="1" applyBorder="1" applyAlignment="1">
      <alignment horizontal="center" vertical="center"/>
    </xf>
    <xf numFmtId="38" fontId="43" fillId="25" borderId="5" xfId="2" applyFont="1" applyFill="1" applyBorder="1">
      <alignment vertical="center"/>
    </xf>
    <xf numFmtId="14" fontId="43" fillId="25" borderId="5" xfId="1" applyNumberFormat="1" applyFont="1" applyFill="1" applyBorder="1" applyAlignment="1">
      <alignment horizontal="left" vertical="center"/>
    </xf>
    <xf numFmtId="176" fontId="43" fillId="25" borderId="5" xfId="1" applyNumberFormat="1" applyFont="1" applyFill="1" applyBorder="1" applyAlignment="1">
      <alignment horizontal="left" vertical="center"/>
    </xf>
    <xf numFmtId="179" fontId="43" fillId="24" borderId="5" xfId="1" applyNumberFormat="1" applyFont="1" applyFill="1" applyBorder="1" applyAlignment="1">
      <alignment horizontal="left" vertical="center"/>
    </xf>
    <xf numFmtId="0" fontId="46" fillId="20" borderId="5" xfId="0" applyFont="1" applyFill="1" applyBorder="1">
      <alignment vertical="center"/>
    </xf>
    <xf numFmtId="0" fontId="47" fillId="13" borderId="5" xfId="0" applyFont="1" applyFill="1" applyBorder="1" applyAlignment="1">
      <alignment horizontal="center" vertical="center"/>
    </xf>
    <xf numFmtId="176" fontId="47" fillId="13" borderId="5" xfId="0" applyNumberFormat="1" applyFont="1" applyFill="1" applyBorder="1" applyAlignment="1">
      <alignment horizontal="center" vertical="center"/>
    </xf>
    <xf numFmtId="38" fontId="47" fillId="13" borderId="5" xfId="0" applyNumberFormat="1" applyFont="1" applyFill="1" applyBorder="1" applyAlignment="1">
      <alignment horizontal="center" vertical="center"/>
    </xf>
    <xf numFmtId="178" fontId="47" fillId="10" borderId="5" xfId="3" applyNumberFormat="1" applyFont="1" applyFill="1" applyBorder="1" applyAlignment="1">
      <alignment horizontal="center" vertical="center" wrapText="1"/>
    </xf>
    <xf numFmtId="178" fontId="47" fillId="10" borderId="5" xfId="3" applyNumberFormat="1" applyFont="1" applyFill="1" applyBorder="1" applyAlignment="1">
      <alignment horizontal="center" vertical="center"/>
    </xf>
    <xf numFmtId="176" fontId="47" fillId="10" borderId="5" xfId="3" applyNumberFormat="1" applyFont="1" applyFill="1" applyBorder="1" applyAlignment="1">
      <alignment horizontal="center" vertical="center" wrapText="1"/>
    </xf>
    <xf numFmtId="176" fontId="47" fillId="10" borderId="5" xfId="3" applyNumberFormat="1" applyFont="1" applyFill="1" applyBorder="1" applyAlignment="1">
      <alignment horizontal="center" vertical="center"/>
    </xf>
    <xf numFmtId="0" fontId="46" fillId="5" borderId="5" xfId="0" applyFont="1" applyFill="1" applyBorder="1">
      <alignment vertical="center"/>
    </xf>
    <xf numFmtId="0" fontId="47" fillId="4" borderId="5" xfId="0" applyFont="1" applyFill="1" applyBorder="1" applyAlignment="1">
      <alignment horizontal="center" vertical="center"/>
    </xf>
    <xf numFmtId="176" fontId="47" fillId="4" borderId="5" xfId="0" applyNumberFormat="1" applyFont="1" applyFill="1" applyBorder="1" applyAlignment="1">
      <alignment horizontal="center" vertical="center"/>
    </xf>
    <xf numFmtId="38" fontId="47" fillId="4" borderId="5" xfId="0" applyNumberFormat="1" applyFont="1" applyFill="1" applyBorder="1" applyAlignment="1">
      <alignment horizontal="center" vertical="center"/>
    </xf>
    <xf numFmtId="178" fontId="48" fillId="3" borderId="5" xfId="3" applyNumberFormat="1" applyFont="1" applyFill="1" applyBorder="1" applyAlignment="1">
      <alignment horizontal="center" vertical="center" wrapText="1"/>
    </xf>
    <xf numFmtId="178" fontId="48" fillId="3" borderId="5" xfId="3" applyNumberFormat="1" applyFont="1" applyFill="1" applyBorder="1" applyAlignment="1">
      <alignment horizontal="center" vertical="center"/>
    </xf>
    <xf numFmtId="176" fontId="48" fillId="3" borderId="5" xfId="3" applyNumberFormat="1" applyFont="1" applyFill="1" applyBorder="1" applyAlignment="1">
      <alignment horizontal="center" vertical="center" wrapText="1"/>
    </xf>
    <xf numFmtId="176" fontId="48" fillId="3" borderId="5" xfId="3" applyNumberFormat="1" applyFont="1" applyFill="1" applyBorder="1" applyAlignment="1">
      <alignment horizontal="center" vertical="center"/>
    </xf>
    <xf numFmtId="0" fontId="49" fillId="26" borderId="0" xfId="1" applyFont="1" applyFill="1" applyAlignment="1">
      <alignment horizontal="center" vertical="center"/>
    </xf>
    <xf numFmtId="0" fontId="49" fillId="26" borderId="7" xfId="1" applyFont="1" applyFill="1" applyBorder="1" applyAlignment="1">
      <alignment horizontal="center" vertical="center"/>
    </xf>
    <xf numFmtId="0" fontId="10" fillId="13" borderId="5" xfId="1" applyFont="1" applyFill="1" applyBorder="1">
      <alignment vertical="center"/>
    </xf>
    <xf numFmtId="0" fontId="10" fillId="27" borderId="5" xfId="1" applyFont="1" applyFill="1" applyBorder="1">
      <alignment vertical="center"/>
    </xf>
    <xf numFmtId="0" fontId="10" fillId="0" borderId="5" xfId="1" applyFont="1" applyBorder="1">
      <alignment vertical="center"/>
    </xf>
    <xf numFmtId="0" fontId="49" fillId="28" borderId="0" xfId="1" applyFont="1" applyFill="1" applyAlignment="1">
      <alignment horizontal="center" vertical="center"/>
    </xf>
    <xf numFmtId="0" fontId="49" fillId="28" borderId="7" xfId="1" applyFont="1" applyFill="1" applyBorder="1" applyAlignment="1">
      <alignment horizontal="center" vertical="center"/>
    </xf>
    <xf numFmtId="0" fontId="10" fillId="4" borderId="5" xfId="1" applyFont="1" applyFill="1" applyBorder="1">
      <alignment vertical="center"/>
    </xf>
    <xf numFmtId="0" fontId="50" fillId="13" borderId="5" xfId="1" applyFont="1" applyFill="1" applyBorder="1" applyAlignment="1">
      <alignment horizontal="center" vertical="center"/>
    </xf>
    <xf numFmtId="0" fontId="50" fillId="0" borderId="5" xfId="1" applyFont="1" applyBorder="1" applyAlignment="1">
      <alignment horizontal="center" vertical="center"/>
    </xf>
    <xf numFmtId="0" fontId="50" fillId="0" borderId="5" xfId="1" applyFont="1" applyBorder="1" applyAlignment="1">
      <alignment horizontal="left" vertical="center"/>
    </xf>
    <xf numFmtId="0" fontId="51" fillId="0" borderId="5" xfId="0" applyFont="1" applyBorder="1" applyAlignment="1">
      <alignment horizontal="left" vertical="center"/>
    </xf>
    <xf numFmtId="0" fontId="50" fillId="0" borderId="5" xfId="1" applyFont="1" applyBorder="1" applyAlignment="1">
      <alignment horizontal="left" vertical="center" wrapText="1"/>
    </xf>
    <xf numFmtId="0" fontId="50" fillId="4" borderId="5" xfId="1" applyFont="1" applyFill="1" applyBorder="1" applyAlignment="1">
      <alignment horizontal="center" vertical="center"/>
    </xf>
    <xf numFmtId="179" fontId="20" fillId="12" borderId="5" xfId="1" applyNumberFormat="1" applyFont="1" applyFill="1" applyBorder="1" applyAlignment="1">
      <alignment horizontal="left" vertical="center"/>
    </xf>
    <xf numFmtId="0" fontId="20" fillId="12" borderId="0" xfId="1" applyFont="1" applyFill="1" applyAlignment="1">
      <alignment horizontal="center" vertical="center"/>
    </xf>
    <xf numFmtId="0" fontId="20" fillId="12" borderId="0" xfId="1" applyFont="1" applyFill="1" applyAlignment="1">
      <alignment horizontal="left" vertical="center"/>
    </xf>
    <xf numFmtId="176" fontId="20" fillId="12" borderId="0" xfId="1" applyNumberFormat="1" applyFont="1" applyFill="1" applyAlignment="1">
      <alignment horizontal="center" vertical="center"/>
    </xf>
    <xf numFmtId="176" fontId="20" fillId="12" borderId="0" xfId="2" applyNumberFormat="1" applyFont="1" applyFill="1" applyBorder="1" applyAlignment="1">
      <alignment horizontal="center" vertical="center"/>
    </xf>
    <xf numFmtId="38" fontId="20" fillId="12" borderId="0" xfId="2" applyFont="1" applyFill="1" applyBorder="1">
      <alignment vertical="center"/>
    </xf>
    <xf numFmtId="179" fontId="20" fillId="12" borderId="0" xfId="1" applyNumberFormat="1" applyFont="1" applyFill="1" applyAlignment="1">
      <alignment horizontal="left" vertical="center"/>
    </xf>
    <xf numFmtId="176" fontId="20" fillId="12" borderId="0" xfId="1" applyNumberFormat="1" applyFont="1" applyFill="1" applyAlignment="1">
      <alignment horizontal="left" vertical="center"/>
    </xf>
    <xf numFmtId="0" fontId="46" fillId="0" borderId="0" xfId="0" applyFont="1">
      <alignment vertical="center"/>
    </xf>
    <xf numFmtId="14" fontId="20" fillId="0" borderId="0" xfId="1" applyNumberFormat="1" applyFont="1" applyAlignment="1">
      <alignment horizontal="left" vertical="center"/>
    </xf>
    <xf numFmtId="0" fontId="20" fillId="0" borderId="0" xfId="1" applyFont="1" applyAlignment="1">
      <alignment horizontal="left" vertical="center"/>
    </xf>
    <xf numFmtId="0" fontId="20" fillId="0" borderId="1" xfId="1" applyFont="1" applyBorder="1" applyAlignment="1">
      <alignment horizontal="center"/>
    </xf>
    <xf numFmtId="0" fontId="1" fillId="0" borderId="0" xfId="5" applyFont="1" applyAlignment="1">
      <alignment horizontal="left" vertical="center" wrapText="1"/>
    </xf>
    <xf numFmtId="0" fontId="34" fillId="0" borderId="0" xfId="5" applyFont="1"/>
    <xf numFmtId="0" fontId="1" fillId="18" borderId="0" xfId="5" applyFont="1" applyFill="1" applyAlignment="1">
      <alignment horizontal="left" vertical="center" wrapText="1"/>
    </xf>
    <xf numFmtId="0" fontId="28" fillId="15" borderId="0" xfId="5" applyFont="1" applyFill="1" applyAlignment="1">
      <alignment horizontal="center" vertical="center"/>
    </xf>
    <xf numFmtId="0" fontId="23" fillId="14" borderId="0" xfId="5" applyFont="1" applyFill="1" applyAlignment="1">
      <alignment horizontal="center" vertical="center"/>
    </xf>
    <xf numFmtId="0" fontId="1" fillId="15" borderId="0" xfId="5" applyFont="1" applyFill="1" applyAlignment="1">
      <alignment horizontal="left" vertical="center" wrapText="1"/>
    </xf>
    <xf numFmtId="0" fontId="24" fillId="16" borderId="0" xfId="5" applyFont="1" applyFill="1"/>
    <xf numFmtId="0" fontId="25" fillId="17" borderId="0" xfId="5" applyFont="1" applyFill="1" applyAlignment="1">
      <alignment horizontal="center" vertical="center"/>
    </xf>
    <xf numFmtId="0" fontId="20" fillId="0" borderId="0" xfId="3" applyFont="1" applyAlignment="1">
      <alignment horizontal="center" vertical="center"/>
    </xf>
    <xf numFmtId="0" fontId="33" fillId="0" borderId="1" xfId="3" applyFont="1" applyBorder="1" applyAlignment="1">
      <alignment horizontal="center" vertical="center"/>
    </xf>
    <xf numFmtId="0" fontId="32" fillId="0" borderId="2" xfId="3" applyFont="1" applyBorder="1" applyAlignment="1">
      <alignment horizontal="center" vertical="center" textRotation="255"/>
    </xf>
    <xf numFmtId="0" fontId="32" fillId="0" borderId="4" xfId="3" applyFont="1" applyBorder="1" applyAlignment="1">
      <alignment horizontal="center" vertical="center" textRotation="255"/>
    </xf>
    <xf numFmtId="14" fontId="40" fillId="19" borderId="0" xfId="1" applyNumberFormat="1" applyFont="1" applyFill="1" applyAlignment="1">
      <alignment horizontal="center"/>
    </xf>
    <xf numFmtId="0" fontId="14" fillId="0" borderId="0" xfId="1" applyFont="1" applyAlignment="1">
      <alignment horizontal="left" vertical="center"/>
    </xf>
    <xf numFmtId="0" fontId="14" fillId="0" borderId="0" xfId="1" applyFont="1" applyAlignment="1">
      <alignment horizontal="left" vertical="center" wrapText="1"/>
    </xf>
    <xf numFmtId="14" fontId="2" fillId="0" borderId="0" xfId="1" applyNumberFormat="1" applyFont="1" applyAlignment="1">
      <alignment horizontal="left" vertical="center"/>
    </xf>
    <xf numFmtId="0" fontId="2" fillId="0" borderId="0" xfId="1" applyFont="1" applyAlignment="1">
      <alignment horizontal="left" vertical="center"/>
    </xf>
    <xf numFmtId="0" fontId="2" fillId="0" borderId="1" xfId="1" applyFont="1" applyBorder="1" applyAlignment="1">
      <alignment horizontal="center"/>
    </xf>
    <xf numFmtId="0" fontId="23" fillId="6" borderId="0" xfId="5" applyFont="1" applyFill="1" applyAlignment="1">
      <alignment horizontal="center" vertical="center"/>
    </xf>
    <xf numFmtId="0" fontId="22" fillId="0" borderId="0" xfId="5"/>
    <xf numFmtId="0" fontId="1" fillId="7" borderId="0" xfId="5" applyFont="1" applyFill="1" applyAlignment="1">
      <alignment horizontal="left" vertical="center" wrapText="1"/>
    </xf>
    <xf numFmtId="0" fontId="24" fillId="8" borderId="0" xfId="5" applyFont="1" applyFill="1"/>
  </cellXfs>
  <cellStyles count="6">
    <cellStyle name="桁区切り 2 2" xfId="2" xr:uid="{ADB62B5A-B874-4DDB-8210-C82182E92D2E}"/>
    <cellStyle name="標準" xfId="0" builtinId="0"/>
    <cellStyle name="標準 2" xfId="5" xr:uid="{E51128B7-D00E-45D6-AA68-9403F50F02B0}"/>
    <cellStyle name="標準 2 5" xfId="1" xr:uid="{20ADC76A-A4A2-468A-ABDA-C15C2B24EF2D}"/>
    <cellStyle name="標準 3" xfId="3" xr:uid="{FCEF1967-3F20-4682-8406-E14707D0024A}"/>
    <cellStyle name="標準 4" xfId="4" xr:uid="{EDC7A7ED-FE8C-4D27-9372-1CFC23887165}"/>
  </cellStyles>
  <dxfs count="1224">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theme="8" tint="0.79998168889431442"/>
        </patternFill>
      </fill>
    </dxf>
    <dxf>
      <fill>
        <patternFill>
          <bgColor theme="8" tint="0.79998168889431442"/>
        </patternFill>
      </fill>
    </dxf>
    <dxf>
      <font>
        <color theme="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theme="0"/>
      </font>
    </dxf>
    <dxf>
      <font>
        <color theme="0"/>
      </font>
    </dxf>
    <dxf>
      <font>
        <color theme="0"/>
      </font>
    </dxf>
    <dxf>
      <font>
        <color theme="0"/>
      </font>
    </dxf>
    <dxf>
      <font>
        <color theme="0"/>
      </font>
    </dxf>
    <dxf>
      <font>
        <color theme="0"/>
      </font>
    </dxf>
    <dxf>
      <font>
        <color theme="0"/>
      </font>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ill>
        <patternFill>
          <bgColor rgb="FFF2CEEF"/>
        </patternFill>
      </fill>
    </dxf>
    <dxf>
      <font>
        <color rgb="FFFFFFFF"/>
      </font>
    </dxf>
    <dxf>
      <fill>
        <patternFill>
          <bgColor rgb="FFF2CEEF"/>
        </patternFill>
      </fill>
    </dxf>
    <dxf>
      <fill>
        <patternFill>
          <bgColor rgb="FFF2CEEF"/>
        </patternFill>
      </fill>
    </dxf>
    <dxf>
      <fill>
        <patternFill>
          <bgColor rgb="FFF2CEEF"/>
        </patternFill>
      </fill>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601980</xdr:colOff>
      <xdr:row>2</xdr:row>
      <xdr:rowOff>7620</xdr:rowOff>
    </xdr:from>
    <xdr:to>
      <xdr:col>4</xdr:col>
      <xdr:colOff>563880</xdr:colOff>
      <xdr:row>7</xdr:row>
      <xdr:rowOff>0</xdr:rowOff>
    </xdr:to>
    <xdr:sp macro="[0]!マクロ_最新取得" textlink="">
      <xdr:nvSpPr>
        <xdr:cNvPr id="2" name="四角形: 角度付き 1">
          <a:extLst>
            <a:ext uri="{FF2B5EF4-FFF2-40B4-BE49-F238E27FC236}">
              <a16:creationId xmlns:a16="http://schemas.microsoft.com/office/drawing/2014/main" id="{32A8A883-7220-EEA4-7546-4B30B15F3659}"/>
            </a:ext>
          </a:extLst>
        </xdr:cNvPr>
        <xdr:cNvSpPr/>
      </xdr:nvSpPr>
      <xdr:spPr>
        <a:xfrm>
          <a:off x="601980" y="312420"/>
          <a:ext cx="2400300" cy="754380"/>
        </a:xfrm>
        <a:prstGeom prst="bevel">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2400" b="1" kern="1200">
              <a:solidFill>
                <a:sysClr val="windowText" lastClr="000000"/>
              </a:solidFill>
            </a:rPr>
            <a:t>データ更新</a:t>
          </a:r>
        </a:p>
      </xdr:txBody>
    </xdr:sp>
    <xdr:clientData/>
  </xdr:twoCellAnchor>
  <xdr:twoCellAnchor>
    <xdr:from>
      <xdr:col>1</xdr:col>
      <xdr:colOff>7620</xdr:colOff>
      <xdr:row>10</xdr:row>
      <xdr:rowOff>15240</xdr:rowOff>
    </xdr:from>
    <xdr:to>
      <xdr:col>4</xdr:col>
      <xdr:colOff>579120</xdr:colOff>
      <xdr:row>15</xdr:row>
      <xdr:rowOff>7620</xdr:rowOff>
    </xdr:to>
    <xdr:sp macro="[0]!マクロ_マスタへ反映" textlink="">
      <xdr:nvSpPr>
        <xdr:cNvPr id="6" name="四角形: 角度付き 5">
          <a:extLst>
            <a:ext uri="{FF2B5EF4-FFF2-40B4-BE49-F238E27FC236}">
              <a16:creationId xmlns:a16="http://schemas.microsoft.com/office/drawing/2014/main" id="{0BAD258E-BA38-4DCB-B520-2891D6039177}"/>
            </a:ext>
          </a:extLst>
        </xdr:cNvPr>
        <xdr:cNvSpPr/>
      </xdr:nvSpPr>
      <xdr:spPr>
        <a:xfrm>
          <a:off x="617220" y="1539240"/>
          <a:ext cx="2400300" cy="754380"/>
        </a:xfrm>
        <a:prstGeom prst="bevel">
          <a:avLst/>
        </a:prstGeom>
        <a:solidFill>
          <a:srgbClr val="0F9ED5">
            <a:lumMod val="40000"/>
            <a:lumOff val="60000"/>
          </a:srgbClr>
        </a:solidFill>
        <a:ln w="19050" cap="flat" cmpd="sng" algn="ctr">
          <a:solidFill>
            <a:srgbClr val="156082">
              <a:shade val="15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2400" b="1" i="0" u="none" strike="noStrike" kern="1200" cap="none" spc="0" normalizeH="0" baseline="0" noProof="0">
              <a:ln>
                <a:noFill/>
              </a:ln>
              <a:solidFill>
                <a:sysClr val="windowText" lastClr="000000"/>
              </a:solidFill>
              <a:effectLst/>
              <a:uLnTx/>
              <a:uFillTx/>
              <a:latin typeface="Aptos Narrow" panose="02110004020202020204"/>
              <a:ea typeface="游ゴシック" panose="020B0400000000000000" pitchFamily="50" charset="-128"/>
              <a:cs typeface="+mn-cs"/>
            </a:rPr>
            <a:t>データ反映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31</xdr:col>
      <xdr:colOff>881061</xdr:colOff>
      <xdr:row>0</xdr:row>
      <xdr:rowOff>109540</xdr:rowOff>
    </xdr:from>
    <xdr:to>
      <xdr:col>35</xdr:col>
      <xdr:colOff>759280</xdr:colOff>
      <xdr:row>3</xdr:row>
      <xdr:rowOff>2723</xdr:rowOff>
    </xdr:to>
    <xdr:sp macro="" textlink="">
      <xdr:nvSpPr>
        <xdr:cNvPr id="2" name="テキスト ボックス 1">
          <a:extLst>
            <a:ext uri="{FF2B5EF4-FFF2-40B4-BE49-F238E27FC236}">
              <a16:creationId xmlns:a16="http://schemas.microsoft.com/office/drawing/2014/main" id="{76DA724A-A992-48F8-AADE-779567FC802B}"/>
            </a:ext>
          </a:extLst>
        </xdr:cNvPr>
        <xdr:cNvSpPr txBox="1"/>
      </xdr:nvSpPr>
      <xdr:spPr>
        <a:xfrm>
          <a:off x="47391636" y="109540"/>
          <a:ext cx="4554994" cy="1950583"/>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1100"/>
            <a:t>役所提出書類</a:t>
          </a:r>
          <a:endParaRPr kumimoji="1" lang="en-US" altLang="ja-JP" sz="1100"/>
        </a:p>
        <a:p>
          <a:pPr algn="l"/>
          <a:r>
            <a:rPr kumimoji="1" lang="ja-JP" altLang="en-US" sz="1100"/>
            <a:t>①特定建設作業・工事実施届出書</a:t>
          </a:r>
        </a:p>
        <a:p>
          <a:pPr algn="l"/>
          <a:r>
            <a:rPr kumimoji="1" lang="ja-JP" altLang="en-US" sz="1100"/>
            <a:t>②届出書</a:t>
          </a:r>
          <a:r>
            <a:rPr kumimoji="1" lang="en-US" altLang="ja-JP" sz="1100"/>
            <a:t>(</a:t>
          </a:r>
          <a:r>
            <a:rPr kumimoji="1" lang="ja-JP" altLang="en-US" sz="1100"/>
            <a:t>建設リサイクル法）</a:t>
          </a:r>
        </a:p>
        <a:p>
          <a:pPr algn="l"/>
          <a:r>
            <a:rPr kumimoji="1" lang="ja-JP" altLang="en-US" sz="1100"/>
            <a:t>③特定工作物解体等工事実施届</a:t>
          </a:r>
        </a:p>
        <a:p>
          <a:pPr algn="l"/>
          <a:r>
            <a:rPr kumimoji="1" lang="ja-JP" altLang="en-US" sz="1100"/>
            <a:t>④特定粉じん排出等作業実施届出書</a:t>
          </a:r>
        </a:p>
        <a:p>
          <a:pPr algn="l"/>
          <a:r>
            <a:rPr kumimoji="1" lang="ja-JP" altLang="en-US" sz="1100"/>
            <a:t>⑤再生</a:t>
          </a:r>
          <a:endParaRPr kumimoji="1" lang="en-US" altLang="ja-JP" sz="1100"/>
        </a:p>
        <a:p>
          <a:pPr algn="l"/>
          <a:r>
            <a:rPr kumimoji="1" lang="ja-JP" altLang="en-US" sz="1100"/>
            <a:t>⑥足場設置届　建設物機械等設置・移転変更届</a:t>
          </a:r>
        </a:p>
      </xdr:txBody>
    </xdr:sp>
    <xdr:clientData fPrintsWithSheet="0"/>
  </xdr:twoCellAnchor>
  <xdr:twoCellAnchor>
    <xdr:from>
      <xdr:col>5</xdr:col>
      <xdr:colOff>1506681</xdr:colOff>
      <xdr:row>2</xdr:row>
      <xdr:rowOff>173181</xdr:rowOff>
    </xdr:from>
    <xdr:to>
      <xdr:col>8</xdr:col>
      <xdr:colOff>883227</xdr:colOff>
      <xdr:row>2</xdr:row>
      <xdr:rowOff>484908</xdr:rowOff>
    </xdr:to>
    <xdr:sp macro="" textlink="">
      <xdr:nvSpPr>
        <xdr:cNvPr id="3" name="テキスト ボックス 2">
          <a:extLst>
            <a:ext uri="{FF2B5EF4-FFF2-40B4-BE49-F238E27FC236}">
              <a16:creationId xmlns:a16="http://schemas.microsoft.com/office/drawing/2014/main" id="{5BDA7762-42E3-4186-A9FB-6CC9639DFDB2}"/>
            </a:ext>
          </a:extLst>
        </xdr:cNvPr>
        <xdr:cNvSpPr txBox="1"/>
      </xdr:nvSpPr>
      <xdr:spPr>
        <a:xfrm>
          <a:off x="9279081"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 name="テキスト ボックス 3">
          <a:extLst>
            <a:ext uri="{FF2B5EF4-FFF2-40B4-BE49-F238E27FC236}">
              <a16:creationId xmlns:a16="http://schemas.microsoft.com/office/drawing/2014/main" id="{8ABBE6DC-D137-4C3D-B58C-70F6ED8F0110}"/>
            </a:ext>
          </a:extLst>
        </xdr:cNvPr>
        <xdr:cNvSpPr txBox="1"/>
      </xdr:nvSpPr>
      <xdr:spPr>
        <a:xfrm>
          <a:off x="28919631" y="1059006"/>
          <a:ext cx="65298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409575</xdr:colOff>
      <xdr:row>1</xdr:row>
      <xdr:rowOff>304801</xdr:rowOff>
    </xdr:from>
    <xdr:to>
      <xdr:col>2</xdr:col>
      <xdr:colOff>39672</xdr:colOff>
      <xdr:row>3</xdr:row>
      <xdr:rowOff>273051</xdr:rowOff>
    </xdr:to>
    <xdr:sp macro="" textlink="">
      <xdr:nvSpPr>
        <xdr:cNvPr id="2" name="テキスト ボックス 1">
          <a:extLst>
            <a:ext uri="{FF2B5EF4-FFF2-40B4-BE49-F238E27FC236}">
              <a16:creationId xmlns:a16="http://schemas.microsoft.com/office/drawing/2014/main" id="{7809B7C2-526A-4457-9538-32E176CBAD1D}"/>
            </a:ext>
          </a:extLst>
        </xdr:cNvPr>
        <xdr:cNvSpPr txBox="1">
          <a:spLocks noChangeAspect="1"/>
        </xdr:cNvSpPr>
      </xdr:nvSpPr>
      <xdr:spPr>
        <a:xfrm>
          <a:off x="409575" y="676276"/>
          <a:ext cx="506397" cy="711200"/>
        </a:xfrm>
        <a:prstGeom prst="rect">
          <a:avLst/>
        </a:prstGeom>
        <a:no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ja-JP" altLang="en-US" sz="3200"/>
        </a:p>
      </xdr:txBody>
    </xdr:sp>
    <xdr:clientData/>
  </xdr:twoCellAnchor>
  <xdr:twoCellAnchor>
    <xdr:from>
      <xdr:col>2</xdr:col>
      <xdr:colOff>304800</xdr:colOff>
      <xdr:row>1</xdr:row>
      <xdr:rowOff>304801</xdr:rowOff>
    </xdr:from>
    <xdr:to>
      <xdr:col>3</xdr:col>
      <xdr:colOff>373047</xdr:colOff>
      <xdr:row>3</xdr:row>
      <xdr:rowOff>273051</xdr:rowOff>
    </xdr:to>
    <xdr:sp macro="" textlink="">
      <xdr:nvSpPr>
        <xdr:cNvPr id="3" name="テキスト ボックス 2">
          <a:extLst>
            <a:ext uri="{FF2B5EF4-FFF2-40B4-BE49-F238E27FC236}">
              <a16:creationId xmlns:a16="http://schemas.microsoft.com/office/drawing/2014/main" id="{55522543-1D30-41BE-AB7F-9E4A9B90783E}"/>
            </a:ext>
          </a:extLst>
        </xdr:cNvPr>
        <xdr:cNvSpPr txBox="1">
          <a:spLocks noChangeAspect="1"/>
        </xdr:cNvSpPr>
      </xdr:nvSpPr>
      <xdr:spPr>
        <a:xfrm>
          <a:off x="1181100" y="676276"/>
          <a:ext cx="506397" cy="711200"/>
        </a:xfrm>
        <a:prstGeom prst="rect">
          <a:avLst/>
        </a:prstGeom>
        <a:no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3</a:t>
          </a:r>
          <a:endParaRPr kumimoji="1" lang="ja-JP" altLang="en-US" sz="3200"/>
        </a:p>
      </xdr:txBody>
    </xdr:sp>
    <xdr:clientData/>
  </xdr:twoCellAnchor>
  <xdr:twoCellAnchor>
    <xdr:from>
      <xdr:col>6</xdr:col>
      <xdr:colOff>381000</xdr:colOff>
      <xdr:row>1</xdr:row>
      <xdr:rowOff>304801</xdr:rowOff>
    </xdr:from>
    <xdr:to>
      <xdr:col>8</xdr:col>
      <xdr:colOff>11097</xdr:colOff>
      <xdr:row>3</xdr:row>
      <xdr:rowOff>273051</xdr:rowOff>
    </xdr:to>
    <xdr:sp macro="" textlink="">
      <xdr:nvSpPr>
        <xdr:cNvPr id="4" name="テキスト ボックス 3">
          <a:extLst>
            <a:ext uri="{FF2B5EF4-FFF2-40B4-BE49-F238E27FC236}">
              <a16:creationId xmlns:a16="http://schemas.microsoft.com/office/drawing/2014/main" id="{45D84F7D-87E5-4162-B750-A0B738240894}"/>
            </a:ext>
          </a:extLst>
        </xdr:cNvPr>
        <xdr:cNvSpPr txBox="1">
          <a:spLocks noChangeAspect="1"/>
        </xdr:cNvSpPr>
      </xdr:nvSpPr>
      <xdr:spPr>
        <a:xfrm>
          <a:off x="3009900" y="676276"/>
          <a:ext cx="506397" cy="711200"/>
        </a:xfrm>
        <a:prstGeom prst="rect">
          <a:avLst/>
        </a:prstGeom>
        <a:solidFill>
          <a:srgbClr val="FFFF00"/>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5</a:t>
          </a:r>
          <a:endParaRPr kumimoji="1" lang="ja-JP" altLang="en-US" sz="3200"/>
        </a:p>
      </xdr:txBody>
    </xdr:sp>
    <xdr:clientData/>
  </xdr:twoCellAnchor>
  <xdr:twoCellAnchor>
    <xdr:from>
      <xdr:col>8</xdr:col>
      <xdr:colOff>200025</xdr:colOff>
      <xdr:row>1</xdr:row>
      <xdr:rowOff>304801</xdr:rowOff>
    </xdr:from>
    <xdr:to>
      <xdr:col>9</xdr:col>
      <xdr:colOff>268272</xdr:colOff>
      <xdr:row>3</xdr:row>
      <xdr:rowOff>273051</xdr:rowOff>
    </xdr:to>
    <xdr:sp macro="" textlink="">
      <xdr:nvSpPr>
        <xdr:cNvPr id="5" name="テキスト ボックス 4">
          <a:extLst>
            <a:ext uri="{FF2B5EF4-FFF2-40B4-BE49-F238E27FC236}">
              <a16:creationId xmlns:a16="http://schemas.microsoft.com/office/drawing/2014/main" id="{51E3F262-7307-4706-ACD0-7DAFCCEBFDAF}"/>
            </a:ext>
          </a:extLst>
        </xdr:cNvPr>
        <xdr:cNvSpPr txBox="1">
          <a:spLocks noChangeAspect="1"/>
        </xdr:cNvSpPr>
      </xdr:nvSpPr>
      <xdr:spPr>
        <a:xfrm>
          <a:off x="3705225" y="676276"/>
          <a:ext cx="50639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r>
            <a:rPr kumimoji="1" lang="en-US" altLang="ja-JP" sz="3200"/>
            <a:t>0</a:t>
          </a:r>
        </a:p>
        <a:p>
          <a:pPr>
            <a:lnSpc>
              <a:spcPts val="4400"/>
            </a:lnSpc>
          </a:pPr>
          <a:endParaRPr kumimoji="1" lang="ja-JP" altLang="en-US" sz="3200"/>
        </a:p>
      </xdr:txBody>
    </xdr:sp>
    <xdr:clientData/>
  </xdr:twoCellAnchor>
  <xdr:twoCellAnchor>
    <xdr:from>
      <xdr:col>10</xdr:col>
      <xdr:colOff>22225</xdr:colOff>
      <xdr:row>1</xdr:row>
      <xdr:rowOff>304801</xdr:rowOff>
    </xdr:from>
    <xdr:to>
      <xdr:col>11</xdr:col>
      <xdr:colOff>96822</xdr:colOff>
      <xdr:row>3</xdr:row>
      <xdr:rowOff>273051</xdr:rowOff>
    </xdr:to>
    <xdr:sp macro="" textlink="">
      <xdr:nvSpPr>
        <xdr:cNvPr id="6" name="テキスト ボックス 5">
          <a:extLst>
            <a:ext uri="{FF2B5EF4-FFF2-40B4-BE49-F238E27FC236}">
              <a16:creationId xmlns:a16="http://schemas.microsoft.com/office/drawing/2014/main" id="{6AAC6D43-F2FA-41A2-B5A4-570CCA96EE52}"/>
            </a:ext>
          </a:extLst>
        </xdr:cNvPr>
        <xdr:cNvSpPr txBox="1">
          <a:spLocks noChangeAspect="1"/>
        </xdr:cNvSpPr>
      </xdr:nvSpPr>
      <xdr:spPr>
        <a:xfrm>
          <a:off x="4403725" y="676276"/>
          <a:ext cx="51274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1</a:t>
          </a:r>
        </a:p>
        <a:p>
          <a:pPr>
            <a:lnSpc>
              <a:spcPts val="4400"/>
            </a:lnSpc>
          </a:pPr>
          <a:endParaRPr kumimoji="1" lang="en-US" altLang="ja-JP" sz="3200"/>
        </a:p>
        <a:p>
          <a:pPr>
            <a:lnSpc>
              <a:spcPts val="4400"/>
            </a:lnSpc>
          </a:pPr>
          <a:r>
            <a:rPr kumimoji="1" lang="en-US" altLang="ja-JP" sz="3200"/>
            <a:t>1</a:t>
          </a:r>
        </a:p>
        <a:p>
          <a:pPr>
            <a:lnSpc>
              <a:spcPts val="4400"/>
            </a:lnSpc>
          </a:pPr>
          <a:endParaRPr kumimoji="1" lang="en-US" altLang="ja-JP" sz="3200"/>
        </a:p>
        <a:p>
          <a:pPr>
            <a:lnSpc>
              <a:spcPts val="4300"/>
            </a:lnSpc>
          </a:pPr>
          <a:endParaRPr kumimoji="1" lang="ja-JP" altLang="en-US" sz="3200"/>
        </a:p>
      </xdr:txBody>
    </xdr:sp>
    <xdr:clientData/>
  </xdr:twoCellAnchor>
  <xdr:twoCellAnchor>
    <xdr:from>
      <xdr:col>11</xdr:col>
      <xdr:colOff>371475</xdr:colOff>
      <xdr:row>1</xdr:row>
      <xdr:rowOff>304801</xdr:rowOff>
    </xdr:from>
    <xdr:to>
      <xdr:col>13</xdr:col>
      <xdr:colOff>1572</xdr:colOff>
      <xdr:row>3</xdr:row>
      <xdr:rowOff>273051</xdr:rowOff>
    </xdr:to>
    <xdr:sp macro="" textlink="">
      <xdr:nvSpPr>
        <xdr:cNvPr id="7" name="テキスト ボックス 6">
          <a:extLst>
            <a:ext uri="{FF2B5EF4-FFF2-40B4-BE49-F238E27FC236}">
              <a16:creationId xmlns:a16="http://schemas.microsoft.com/office/drawing/2014/main" id="{21A6FFFF-A05C-4FD9-9C73-A6650F3CEB43}"/>
            </a:ext>
          </a:extLst>
        </xdr:cNvPr>
        <xdr:cNvSpPr txBox="1">
          <a:spLocks noChangeAspect="1"/>
        </xdr:cNvSpPr>
      </xdr:nvSpPr>
      <xdr:spPr>
        <a:xfrm>
          <a:off x="5191125" y="676276"/>
          <a:ext cx="50639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en-US" altLang="ja-JP" sz="3200"/>
        </a:p>
        <a:p>
          <a:pPr>
            <a:lnSpc>
              <a:spcPts val="4400"/>
            </a:lnSpc>
          </a:pPr>
          <a:endParaRPr kumimoji="1" lang="ja-JP" altLang="en-US" sz="3200"/>
        </a:p>
      </xdr:txBody>
    </xdr:sp>
    <xdr:clientData/>
  </xdr:twoCellAnchor>
  <xdr:twoCellAnchor>
    <xdr:from>
      <xdr:col>13</xdr:col>
      <xdr:colOff>190500</xdr:colOff>
      <xdr:row>1</xdr:row>
      <xdr:rowOff>304801</xdr:rowOff>
    </xdr:from>
    <xdr:to>
      <xdr:col>14</xdr:col>
      <xdr:colOff>258747</xdr:colOff>
      <xdr:row>3</xdr:row>
      <xdr:rowOff>273051</xdr:rowOff>
    </xdr:to>
    <xdr:sp macro="" textlink="">
      <xdr:nvSpPr>
        <xdr:cNvPr id="8" name="テキスト ボックス 7">
          <a:extLst>
            <a:ext uri="{FF2B5EF4-FFF2-40B4-BE49-F238E27FC236}">
              <a16:creationId xmlns:a16="http://schemas.microsoft.com/office/drawing/2014/main" id="{7D1CA160-5E6A-4032-A623-A5689E87010E}"/>
            </a:ext>
          </a:extLst>
        </xdr:cNvPr>
        <xdr:cNvSpPr txBox="1">
          <a:spLocks noChangeAspect="1"/>
        </xdr:cNvSpPr>
      </xdr:nvSpPr>
      <xdr:spPr>
        <a:xfrm>
          <a:off x="5886450" y="676276"/>
          <a:ext cx="50639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0</a:t>
          </a:r>
        </a:p>
        <a:p>
          <a:pPr>
            <a:lnSpc>
              <a:spcPts val="4400"/>
            </a:lnSpc>
          </a:pPr>
          <a:endParaRPr kumimoji="1" lang="en-US" altLang="ja-JP" sz="3200"/>
        </a:p>
        <a:p>
          <a:pPr>
            <a:lnSpc>
              <a:spcPts val="4400"/>
            </a:lnSpc>
          </a:pPr>
          <a:endParaRPr kumimoji="1" lang="ja-JP" altLang="en-US" sz="3200"/>
        </a:p>
      </xdr:txBody>
    </xdr:sp>
    <xdr:clientData/>
  </xdr:twoCellAnchor>
  <xdr:twoCellAnchor>
    <xdr:from>
      <xdr:col>15</xdr:col>
      <xdr:colOff>0</xdr:colOff>
      <xdr:row>1</xdr:row>
      <xdr:rowOff>304801</xdr:rowOff>
    </xdr:from>
    <xdr:to>
      <xdr:col>16</xdr:col>
      <xdr:colOff>61897</xdr:colOff>
      <xdr:row>3</xdr:row>
      <xdr:rowOff>273051</xdr:rowOff>
    </xdr:to>
    <xdr:sp macro="" textlink="">
      <xdr:nvSpPr>
        <xdr:cNvPr id="9" name="テキスト ボックス 8">
          <a:extLst>
            <a:ext uri="{FF2B5EF4-FFF2-40B4-BE49-F238E27FC236}">
              <a16:creationId xmlns:a16="http://schemas.microsoft.com/office/drawing/2014/main" id="{F8D5B3BB-ACE6-416E-9799-B6B3E6CF0452}"/>
            </a:ext>
          </a:extLst>
        </xdr:cNvPr>
        <xdr:cNvSpPr txBox="1">
          <a:spLocks noChangeAspect="1"/>
        </xdr:cNvSpPr>
      </xdr:nvSpPr>
      <xdr:spPr>
        <a:xfrm>
          <a:off x="6572250" y="676276"/>
          <a:ext cx="500047" cy="71120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1</a:t>
          </a:r>
        </a:p>
        <a:p>
          <a:pPr>
            <a:lnSpc>
              <a:spcPts val="4500"/>
            </a:lnSpc>
          </a:pPr>
          <a:endParaRPr kumimoji="1" lang="en-US" altLang="ja-JP" sz="3200"/>
        </a:p>
        <a:p>
          <a:pPr>
            <a:lnSpc>
              <a:spcPts val="4400"/>
            </a:lnSpc>
          </a:pPr>
          <a:endParaRPr kumimoji="1" lang="ja-JP" altLang="en-US" sz="3200"/>
        </a:p>
      </xdr:txBody>
    </xdr:sp>
    <xdr:clientData/>
  </xdr:twoCellAnchor>
  <xdr:twoCellAnchor>
    <xdr:from>
      <xdr:col>4</xdr:col>
      <xdr:colOff>76200</xdr:colOff>
      <xdr:row>2</xdr:row>
      <xdr:rowOff>285750</xdr:rowOff>
    </xdr:from>
    <xdr:to>
      <xdr:col>4</xdr:col>
      <xdr:colOff>355600</xdr:colOff>
      <xdr:row>2</xdr:row>
      <xdr:rowOff>285750</xdr:rowOff>
    </xdr:to>
    <xdr:cxnSp macro="">
      <xdr:nvCxnSpPr>
        <xdr:cNvPr id="10" name="直線コネクタ 9">
          <a:extLst>
            <a:ext uri="{FF2B5EF4-FFF2-40B4-BE49-F238E27FC236}">
              <a16:creationId xmlns:a16="http://schemas.microsoft.com/office/drawing/2014/main" id="{CB2110E4-02F5-43EC-83B8-E2A894E82651}"/>
            </a:ext>
          </a:extLst>
        </xdr:cNvPr>
        <xdr:cNvCxnSpPr/>
      </xdr:nvCxnSpPr>
      <xdr:spPr>
        <a:xfrm>
          <a:off x="1828800" y="1028700"/>
          <a:ext cx="2794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438149</xdr:colOff>
      <xdr:row>3</xdr:row>
      <xdr:rowOff>342901</xdr:rowOff>
    </xdr:from>
    <xdr:to>
      <xdr:col>3</xdr:col>
      <xdr:colOff>334961</xdr:colOff>
      <xdr:row>4</xdr:row>
      <xdr:rowOff>354016</xdr:rowOff>
    </xdr:to>
    <xdr:sp macro="" textlink="">
      <xdr:nvSpPr>
        <xdr:cNvPr id="11" name="右中かっこ 10">
          <a:extLst>
            <a:ext uri="{FF2B5EF4-FFF2-40B4-BE49-F238E27FC236}">
              <a16:creationId xmlns:a16="http://schemas.microsoft.com/office/drawing/2014/main" id="{7F2CB885-7294-48F3-8241-911485DDFC5E}"/>
            </a:ext>
          </a:extLst>
        </xdr:cNvPr>
        <xdr:cNvSpPr/>
      </xdr:nvSpPr>
      <xdr:spPr>
        <a:xfrm rot="5400000">
          <a:off x="852485" y="1042990"/>
          <a:ext cx="382590" cy="1211262"/>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5</xdr:col>
      <xdr:colOff>104774</xdr:colOff>
      <xdr:row>3</xdr:row>
      <xdr:rowOff>352427</xdr:rowOff>
    </xdr:from>
    <xdr:to>
      <xdr:col>7</xdr:col>
      <xdr:colOff>390525</xdr:colOff>
      <xdr:row>4</xdr:row>
      <xdr:rowOff>363542</xdr:rowOff>
    </xdr:to>
    <xdr:sp macro="" textlink="">
      <xdr:nvSpPr>
        <xdr:cNvPr id="12" name="右中かっこ 11">
          <a:extLst>
            <a:ext uri="{FF2B5EF4-FFF2-40B4-BE49-F238E27FC236}">
              <a16:creationId xmlns:a16="http://schemas.microsoft.com/office/drawing/2014/main" id="{6679C9E1-AE2D-496E-A8E0-838720620E86}"/>
            </a:ext>
          </a:extLst>
        </xdr:cNvPr>
        <xdr:cNvSpPr/>
      </xdr:nvSpPr>
      <xdr:spPr>
        <a:xfrm rot="5400000">
          <a:off x="2685255" y="1077121"/>
          <a:ext cx="382590" cy="1162051"/>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8</xdr:col>
      <xdr:colOff>228599</xdr:colOff>
      <xdr:row>3</xdr:row>
      <xdr:rowOff>352428</xdr:rowOff>
    </xdr:from>
    <xdr:to>
      <xdr:col>11</xdr:col>
      <xdr:colOff>142874</xdr:colOff>
      <xdr:row>4</xdr:row>
      <xdr:rowOff>363543</xdr:rowOff>
    </xdr:to>
    <xdr:sp macro="" textlink="">
      <xdr:nvSpPr>
        <xdr:cNvPr id="13" name="右中かっこ 12">
          <a:extLst>
            <a:ext uri="{FF2B5EF4-FFF2-40B4-BE49-F238E27FC236}">
              <a16:creationId xmlns:a16="http://schemas.microsoft.com/office/drawing/2014/main" id="{C12AC146-23CB-42D3-9D20-691155E916DE}"/>
            </a:ext>
          </a:extLst>
        </xdr:cNvPr>
        <xdr:cNvSpPr/>
      </xdr:nvSpPr>
      <xdr:spPr>
        <a:xfrm rot="5400000">
          <a:off x="4156867" y="1043785"/>
          <a:ext cx="382590" cy="1228725"/>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352426</xdr:colOff>
      <xdr:row>3</xdr:row>
      <xdr:rowOff>352429</xdr:rowOff>
    </xdr:from>
    <xdr:to>
      <xdr:col>16</xdr:col>
      <xdr:colOff>85724</xdr:colOff>
      <xdr:row>4</xdr:row>
      <xdr:rowOff>363544</xdr:rowOff>
    </xdr:to>
    <xdr:sp macro="" textlink="">
      <xdr:nvSpPr>
        <xdr:cNvPr id="14" name="右中かっこ 13">
          <a:extLst>
            <a:ext uri="{FF2B5EF4-FFF2-40B4-BE49-F238E27FC236}">
              <a16:creationId xmlns:a16="http://schemas.microsoft.com/office/drawing/2014/main" id="{06ED0859-9A26-4898-9E8F-C1FEEFDE3055}"/>
            </a:ext>
          </a:extLst>
        </xdr:cNvPr>
        <xdr:cNvSpPr/>
      </xdr:nvSpPr>
      <xdr:spPr>
        <a:xfrm rot="5400000">
          <a:off x="5942805" y="696125"/>
          <a:ext cx="382590" cy="1924048"/>
        </a:xfrm>
        <a:prstGeom prst="rightBrace">
          <a:avLst>
            <a:gd name="adj1" fmla="val 8333"/>
            <a:gd name="adj2" fmla="val 4682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66675</xdr:colOff>
      <xdr:row>5</xdr:row>
      <xdr:rowOff>19050</xdr:rowOff>
    </xdr:from>
    <xdr:to>
      <xdr:col>4</xdr:col>
      <xdr:colOff>342900</xdr:colOff>
      <xdr:row>6</xdr:row>
      <xdr:rowOff>0</xdr:rowOff>
    </xdr:to>
    <xdr:sp macro="" textlink="">
      <xdr:nvSpPr>
        <xdr:cNvPr id="15" name="テキスト ボックス 14">
          <a:extLst>
            <a:ext uri="{FF2B5EF4-FFF2-40B4-BE49-F238E27FC236}">
              <a16:creationId xmlns:a16="http://schemas.microsoft.com/office/drawing/2014/main" id="{409079D8-8216-4DFA-A859-B127A88744B2}"/>
            </a:ext>
          </a:extLst>
        </xdr:cNvPr>
        <xdr:cNvSpPr txBox="1"/>
      </xdr:nvSpPr>
      <xdr:spPr>
        <a:xfrm>
          <a:off x="66675" y="1876425"/>
          <a:ext cx="2028825" cy="352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部門コード</a:t>
          </a:r>
          <a:endParaRPr kumimoji="1" lang="en-US" altLang="ja-JP" sz="1100"/>
        </a:p>
        <a:p>
          <a:pPr algn="ctr"/>
          <a:r>
            <a:rPr kumimoji="1" lang="ja-JP" altLang="en-US" sz="1100"/>
            <a:t>（付加価値管理カード）</a:t>
          </a:r>
        </a:p>
      </xdr:txBody>
    </xdr:sp>
    <xdr:clientData/>
  </xdr:twoCellAnchor>
  <xdr:twoCellAnchor>
    <xdr:from>
      <xdr:col>4</xdr:col>
      <xdr:colOff>266700</xdr:colOff>
      <xdr:row>5</xdr:row>
      <xdr:rowOff>19050</xdr:rowOff>
    </xdr:from>
    <xdr:to>
      <xdr:col>8</xdr:col>
      <xdr:colOff>323849</xdr:colOff>
      <xdr:row>7</xdr:row>
      <xdr:rowOff>0</xdr:rowOff>
    </xdr:to>
    <xdr:sp macro="" textlink="">
      <xdr:nvSpPr>
        <xdr:cNvPr id="16" name="テキスト ボックス 15">
          <a:extLst>
            <a:ext uri="{FF2B5EF4-FFF2-40B4-BE49-F238E27FC236}">
              <a16:creationId xmlns:a16="http://schemas.microsoft.com/office/drawing/2014/main" id="{DE5ACAC8-EE47-4B17-9BB4-FB95BEAEEB18}"/>
            </a:ext>
          </a:extLst>
        </xdr:cNvPr>
        <xdr:cNvSpPr txBox="1"/>
      </xdr:nvSpPr>
      <xdr:spPr>
        <a:xfrm>
          <a:off x="2019300" y="1876425"/>
          <a:ext cx="1809749" cy="723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受注年度</a:t>
          </a:r>
          <a:endParaRPr kumimoji="1" lang="en-US" altLang="ja-JP" sz="1100"/>
        </a:p>
        <a:p>
          <a:pPr algn="ctr"/>
          <a:r>
            <a:rPr kumimoji="1" lang="ja-JP" altLang="en-US" sz="1100">
              <a:solidFill>
                <a:srgbClr val="FF0000"/>
              </a:solidFill>
            </a:rPr>
            <a:t>（</a:t>
          </a:r>
          <a:r>
            <a:rPr kumimoji="1" lang="en-US" altLang="ja-JP" sz="1100">
              <a:solidFill>
                <a:srgbClr val="FF0000"/>
              </a:solidFill>
            </a:rPr>
            <a:t>2025.6.1</a:t>
          </a:r>
          <a:r>
            <a:rPr kumimoji="1" lang="ja-JP" altLang="en-US" sz="1100">
              <a:solidFill>
                <a:srgbClr val="FF0000"/>
              </a:solidFill>
            </a:rPr>
            <a:t>～</a:t>
          </a:r>
          <a:r>
            <a:rPr kumimoji="1" lang="en-US" altLang="ja-JP" sz="1100">
              <a:solidFill>
                <a:srgbClr val="FF0000"/>
              </a:solidFill>
            </a:rPr>
            <a:t>2026.5.31</a:t>
          </a:r>
          <a:r>
            <a:rPr kumimoji="1" lang="ja-JP" altLang="en-US" sz="1100">
              <a:solidFill>
                <a:srgbClr val="FF0000"/>
              </a:solidFill>
            </a:rPr>
            <a:t>）</a:t>
          </a:r>
        </a:p>
      </xdr:txBody>
    </xdr:sp>
    <xdr:clientData/>
  </xdr:twoCellAnchor>
  <xdr:twoCellAnchor>
    <xdr:from>
      <xdr:col>8</xdr:col>
      <xdr:colOff>171451</xdr:colOff>
      <xdr:row>5</xdr:row>
      <xdr:rowOff>19050</xdr:rowOff>
    </xdr:from>
    <xdr:to>
      <xdr:col>11</xdr:col>
      <xdr:colOff>133351</xdr:colOff>
      <xdr:row>6</xdr:row>
      <xdr:rowOff>0</xdr:rowOff>
    </xdr:to>
    <xdr:sp macro="" textlink="">
      <xdr:nvSpPr>
        <xdr:cNvPr id="17" name="テキスト ボックス 16">
          <a:extLst>
            <a:ext uri="{FF2B5EF4-FFF2-40B4-BE49-F238E27FC236}">
              <a16:creationId xmlns:a16="http://schemas.microsoft.com/office/drawing/2014/main" id="{53D54F0B-46EA-4A34-A48E-B6C0CF7FF0C5}"/>
            </a:ext>
          </a:extLst>
        </xdr:cNvPr>
        <xdr:cNvSpPr txBox="1"/>
      </xdr:nvSpPr>
      <xdr:spPr>
        <a:xfrm>
          <a:off x="3676651" y="1876425"/>
          <a:ext cx="1276350" cy="352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担当者番号</a:t>
          </a:r>
        </a:p>
      </xdr:txBody>
    </xdr:sp>
    <xdr:clientData/>
  </xdr:twoCellAnchor>
  <xdr:twoCellAnchor>
    <xdr:from>
      <xdr:col>12</xdr:col>
      <xdr:colOff>257175</xdr:colOff>
      <xdr:row>5</xdr:row>
      <xdr:rowOff>19050</xdr:rowOff>
    </xdr:from>
    <xdr:to>
      <xdr:col>16</xdr:col>
      <xdr:colOff>333374</xdr:colOff>
      <xdr:row>6</xdr:row>
      <xdr:rowOff>171450</xdr:rowOff>
    </xdr:to>
    <xdr:sp macro="" textlink="">
      <xdr:nvSpPr>
        <xdr:cNvPr id="18" name="テキスト ボックス 17">
          <a:extLst>
            <a:ext uri="{FF2B5EF4-FFF2-40B4-BE49-F238E27FC236}">
              <a16:creationId xmlns:a16="http://schemas.microsoft.com/office/drawing/2014/main" id="{10F75428-F050-427A-8CF2-A4F22A325134}"/>
            </a:ext>
          </a:extLst>
        </xdr:cNvPr>
        <xdr:cNvSpPr txBox="1"/>
      </xdr:nvSpPr>
      <xdr:spPr>
        <a:xfrm>
          <a:off x="5514975" y="1876425"/>
          <a:ext cx="1828799" cy="523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工事通し番号</a:t>
          </a:r>
          <a:endParaRPr kumimoji="1" lang="en-US" altLang="ja-JP" sz="1100"/>
        </a:p>
      </xdr:txBody>
    </xdr:sp>
    <xdr:clientData/>
  </xdr:twoCellAnchor>
  <xdr:twoCellAnchor>
    <xdr:from>
      <xdr:col>5</xdr:col>
      <xdr:colOff>114300</xdr:colOff>
      <xdr:row>1</xdr:row>
      <xdr:rowOff>304801</xdr:rowOff>
    </xdr:from>
    <xdr:to>
      <xdr:col>6</xdr:col>
      <xdr:colOff>182547</xdr:colOff>
      <xdr:row>3</xdr:row>
      <xdr:rowOff>273051</xdr:rowOff>
    </xdr:to>
    <xdr:sp macro="" textlink="">
      <xdr:nvSpPr>
        <xdr:cNvPr id="19" name="テキスト ボックス 18">
          <a:extLst>
            <a:ext uri="{FF2B5EF4-FFF2-40B4-BE49-F238E27FC236}">
              <a16:creationId xmlns:a16="http://schemas.microsoft.com/office/drawing/2014/main" id="{068466B5-7646-40E5-AC8E-1EFDFE96F05B}"/>
            </a:ext>
          </a:extLst>
        </xdr:cNvPr>
        <xdr:cNvSpPr txBox="1">
          <a:spLocks noChangeAspect="1"/>
        </xdr:cNvSpPr>
      </xdr:nvSpPr>
      <xdr:spPr>
        <a:xfrm>
          <a:off x="2305050" y="676276"/>
          <a:ext cx="506397" cy="711200"/>
        </a:xfrm>
        <a:prstGeom prst="rect">
          <a:avLst/>
        </a:prstGeom>
        <a:solidFill>
          <a:srgbClr val="FFFF00"/>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ctr"/>
        <a:lstStyle/>
        <a:p>
          <a:pPr>
            <a:lnSpc>
              <a:spcPts val="4400"/>
            </a:lnSpc>
          </a:pPr>
          <a:r>
            <a:rPr kumimoji="1" lang="en-US" altLang="ja-JP" sz="3200"/>
            <a:t>2</a:t>
          </a:r>
          <a:endParaRPr kumimoji="1" lang="ja-JP" altLang="en-US" sz="32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31</xdr:col>
      <xdr:colOff>881061</xdr:colOff>
      <xdr:row>0</xdr:row>
      <xdr:rowOff>109540</xdr:rowOff>
    </xdr:from>
    <xdr:to>
      <xdr:col>35</xdr:col>
      <xdr:colOff>759280</xdr:colOff>
      <xdr:row>3</xdr:row>
      <xdr:rowOff>2723</xdr:rowOff>
    </xdr:to>
    <xdr:sp macro="" textlink="">
      <xdr:nvSpPr>
        <xdr:cNvPr id="2" name="テキスト ボックス 1">
          <a:extLst>
            <a:ext uri="{FF2B5EF4-FFF2-40B4-BE49-F238E27FC236}">
              <a16:creationId xmlns:a16="http://schemas.microsoft.com/office/drawing/2014/main" id="{D9DA1005-33A7-40A2-BF3C-676B5DF78733}"/>
            </a:ext>
          </a:extLst>
        </xdr:cNvPr>
        <xdr:cNvSpPr txBox="1"/>
      </xdr:nvSpPr>
      <xdr:spPr>
        <a:xfrm>
          <a:off x="48955641" y="109540"/>
          <a:ext cx="4701679" cy="1942963"/>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1100"/>
            <a:t>役所提出書類</a:t>
          </a:r>
          <a:endParaRPr kumimoji="1" lang="en-US" altLang="ja-JP" sz="1100"/>
        </a:p>
        <a:p>
          <a:pPr algn="l"/>
          <a:r>
            <a:rPr kumimoji="1" lang="ja-JP" altLang="en-US" sz="1100"/>
            <a:t>①特定建設作業・工事実施届出書</a:t>
          </a:r>
        </a:p>
        <a:p>
          <a:pPr algn="l"/>
          <a:r>
            <a:rPr kumimoji="1" lang="ja-JP" altLang="en-US" sz="1100"/>
            <a:t>②届出書</a:t>
          </a:r>
          <a:r>
            <a:rPr kumimoji="1" lang="en-US" altLang="ja-JP" sz="1100"/>
            <a:t>(</a:t>
          </a:r>
          <a:r>
            <a:rPr kumimoji="1" lang="ja-JP" altLang="en-US" sz="1100"/>
            <a:t>建設リサイクル法）</a:t>
          </a:r>
        </a:p>
        <a:p>
          <a:pPr algn="l"/>
          <a:r>
            <a:rPr kumimoji="1" lang="ja-JP" altLang="en-US" sz="1100"/>
            <a:t>③特定工作物解体等工事実施届</a:t>
          </a:r>
        </a:p>
        <a:p>
          <a:pPr algn="l"/>
          <a:r>
            <a:rPr kumimoji="1" lang="ja-JP" altLang="en-US" sz="1100"/>
            <a:t>④特定粉じん排出等作業実施届出書</a:t>
          </a:r>
        </a:p>
        <a:p>
          <a:pPr algn="l"/>
          <a:r>
            <a:rPr kumimoji="1" lang="ja-JP" altLang="en-US" sz="1100"/>
            <a:t>⑤再生</a:t>
          </a:r>
          <a:endParaRPr kumimoji="1" lang="en-US" altLang="ja-JP" sz="1100"/>
        </a:p>
        <a:p>
          <a:pPr algn="l"/>
          <a:r>
            <a:rPr kumimoji="1" lang="ja-JP" altLang="en-US" sz="1100"/>
            <a:t>⑥足場設置届　建設物機械等設置・移転変更届</a:t>
          </a:r>
        </a:p>
      </xdr:txBody>
    </xdr:sp>
    <xdr:clientData fPrintsWithSheet="0"/>
  </xdr:twoCellAnchor>
  <xdr:twoCellAnchor>
    <xdr:from>
      <xdr:col>5</xdr:col>
      <xdr:colOff>1506681</xdr:colOff>
      <xdr:row>2</xdr:row>
      <xdr:rowOff>173181</xdr:rowOff>
    </xdr:from>
    <xdr:to>
      <xdr:col>8</xdr:col>
      <xdr:colOff>883227</xdr:colOff>
      <xdr:row>2</xdr:row>
      <xdr:rowOff>484908</xdr:rowOff>
    </xdr:to>
    <xdr:sp macro="" textlink="">
      <xdr:nvSpPr>
        <xdr:cNvPr id="3" name="テキスト ボックス 2">
          <a:extLst>
            <a:ext uri="{FF2B5EF4-FFF2-40B4-BE49-F238E27FC236}">
              <a16:creationId xmlns:a16="http://schemas.microsoft.com/office/drawing/2014/main" id="{9C05CEA5-8A8D-4AE6-9414-E66B7D0B344F}"/>
            </a:ext>
          </a:extLst>
        </xdr:cNvPr>
        <xdr:cNvSpPr txBox="1"/>
      </xdr:nvSpPr>
      <xdr:spPr>
        <a:xfrm>
          <a:off x="9972501" y="1057101"/>
          <a:ext cx="55106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 name="テキスト ボックス 3">
          <a:extLst>
            <a:ext uri="{FF2B5EF4-FFF2-40B4-BE49-F238E27FC236}">
              <a16:creationId xmlns:a16="http://schemas.microsoft.com/office/drawing/2014/main" id="{9E38837A-603F-4AFE-B1E1-A9F8877B9807}"/>
            </a:ext>
          </a:extLst>
        </xdr:cNvPr>
        <xdr:cNvSpPr txBox="1"/>
      </xdr:nvSpPr>
      <xdr:spPr>
        <a:xfrm>
          <a:off x="30180741" y="1057101"/>
          <a:ext cx="647076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31</xdr:col>
      <xdr:colOff>881061</xdr:colOff>
      <xdr:row>0</xdr:row>
      <xdr:rowOff>109540</xdr:rowOff>
    </xdr:from>
    <xdr:to>
      <xdr:col>35</xdr:col>
      <xdr:colOff>759280</xdr:colOff>
      <xdr:row>3</xdr:row>
      <xdr:rowOff>2723</xdr:rowOff>
    </xdr:to>
    <xdr:sp macro="" textlink="">
      <xdr:nvSpPr>
        <xdr:cNvPr id="5" name="テキスト ボックス 4">
          <a:extLst>
            <a:ext uri="{FF2B5EF4-FFF2-40B4-BE49-F238E27FC236}">
              <a16:creationId xmlns:a16="http://schemas.microsoft.com/office/drawing/2014/main" id="{BC79236B-8020-4DB5-9F08-C2D4801A967D}"/>
            </a:ext>
          </a:extLst>
        </xdr:cNvPr>
        <xdr:cNvSpPr txBox="1"/>
      </xdr:nvSpPr>
      <xdr:spPr>
        <a:xfrm>
          <a:off x="48955641" y="109540"/>
          <a:ext cx="4701679" cy="1942963"/>
        </a:xfrm>
        <a:prstGeom prst="rect">
          <a:avLst/>
        </a:prstGeom>
        <a:solidFill>
          <a:schemeClr val="lt1"/>
        </a:solidFill>
        <a:ln w="381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1100"/>
            <a:t>役所提出書類</a:t>
          </a:r>
          <a:endParaRPr kumimoji="1" lang="en-US" altLang="ja-JP" sz="1100"/>
        </a:p>
        <a:p>
          <a:pPr algn="l"/>
          <a:r>
            <a:rPr kumimoji="1" lang="ja-JP" altLang="en-US" sz="1100"/>
            <a:t>①特定建設作業・工事実施届出書</a:t>
          </a:r>
        </a:p>
        <a:p>
          <a:pPr algn="l"/>
          <a:r>
            <a:rPr kumimoji="1" lang="ja-JP" altLang="en-US" sz="1100"/>
            <a:t>②届出書</a:t>
          </a:r>
          <a:r>
            <a:rPr kumimoji="1" lang="en-US" altLang="ja-JP" sz="1100"/>
            <a:t>(</a:t>
          </a:r>
          <a:r>
            <a:rPr kumimoji="1" lang="ja-JP" altLang="en-US" sz="1100"/>
            <a:t>建設リサイクル法）</a:t>
          </a:r>
        </a:p>
        <a:p>
          <a:pPr algn="l"/>
          <a:r>
            <a:rPr kumimoji="1" lang="ja-JP" altLang="en-US" sz="1100"/>
            <a:t>③特定工作物解体等工事実施届</a:t>
          </a:r>
        </a:p>
        <a:p>
          <a:pPr algn="l"/>
          <a:r>
            <a:rPr kumimoji="1" lang="ja-JP" altLang="en-US" sz="1100"/>
            <a:t>④特定粉じん排出等作業実施届出書</a:t>
          </a:r>
        </a:p>
        <a:p>
          <a:pPr algn="l"/>
          <a:r>
            <a:rPr kumimoji="1" lang="ja-JP" altLang="en-US" sz="1100"/>
            <a:t>⑤再生</a:t>
          </a:r>
          <a:endParaRPr kumimoji="1" lang="en-US" altLang="ja-JP" sz="1100"/>
        </a:p>
        <a:p>
          <a:pPr algn="l"/>
          <a:r>
            <a:rPr kumimoji="1" lang="ja-JP" altLang="en-US" sz="1100"/>
            <a:t>⑥足場設置届　建設物機械等設置・移転変更届</a:t>
          </a:r>
        </a:p>
      </xdr:txBody>
    </xdr:sp>
    <xdr:clientData fPrintsWithSheet="0"/>
  </xdr:twoCellAnchor>
  <xdr:twoCellAnchor>
    <xdr:from>
      <xdr:col>5</xdr:col>
      <xdr:colOff>1506681</xdr:colOff>
      <xdr:row>2</xdr:row>
      <xdr:rowOff>173181</xdr:rowOff>
    </xdr:from>
    <xdr:to>
      <xdr:col>8</xdr:col>
      <xdr:colOff>883227</xdr:colOff>
      <xdr:row>2</xdr:row>
      <xdr:rowOff>484908</xdr:rowOff>
    </xdr:to>
    <xdr:sp macro="" textlink="">
      <xdr:nvSpPr>
        <xdr:cNvPr id="6" name="テキスト ボックス 5">
          <a:extLst>
            <a:ext uri="{FF2B5EF4-FFF2-40B4-BE49-F238E27FC236}">
              <a16:creationId xmlns:a16="http://schemas.microsoft.com/office/drawing/2014/main" id="{68006129-F50A-44FE-99BF-030B5B27E100}"/>
            </a:ext>
          </a:extLst>
        </xdr:cNvPr>
        <xdr:cNvSpPr txBox="1"/>
      </xdr:nvSpPr>
      <xdr:spPr>
        <a:xfrm>
          <a:off x="9972501" y="1057101"/>
          <a:ext cx="55106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7" name="テキスト ボックス 6">
          <a:extLst>
            <a:ext uri="{FF2B5EF4-FFF2-40B4-BE49-F238E27FC236}">
              <a16:creationId xmlns:a16="http://schemas.microsoft.com/office/drawing/2014/main" id="{AEEF2007-AEB3-4B80-9EDC-E6027F181965}"/>
            </a:ext>
          </a:extLst>
        </xdr:cNvPr>
        <xdr:cNvSpPr txBox="1"/>
      </xdr:nvSpPr>
      <xdr:spPr>
        <a:xfrm>
          <a:off x="30180741" y="1057101"/>
          <a:ext cx="647076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8" name="テキスト ボックス 7">
          <a:extLst>
            <a:ext uri="{FF2B5EF4-FFF2-40B4-BE49-F238E27FC236}">
              <a16:creationId xmlns:a16="http://schemas.microsoft.com/office/drawing/2014/main" id="{28566BB5-3CFF-477E-BFA7-33BD4AAF71DE}"/>
            </a:ext>
          </a:extLst>
        </xdr:cNvPr>
        <xdr:cNvSpPr txBox="1"/>
      </xdr:nvSpPr>
      <xdr:spPr>
        <a:xfrm>
          <a:off x="11168841" y="1057101"/>
          <a:ext cx="55106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9" name="テキスト ボックス 8">
          <a:extLst>
            <a:ext uri="{FF2B5EF4-FFF2-40B4-BE49-F238E27FC236}">
              <a16:creationId xmlns:a16="http://schemas.microsoft.com/office/drawing/2014/main" id="{E05EF279-047A-4045-A5BC-1AB3C230048B}"/>
            </a:ext>
          </a:extLst>
        </xdr:cNvPr>
        <xdr:cNvSpPr txBox="1"/>
      </xdr:nvSpPr>
      <xdr:spPr>
        <a:xfrm>
          <a:off x="33663081" y="1057101"/>
          <a:ext cx="647076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10" name="テキスト ボックス 9">
          <a:extLst>
            <a:ext uri="{FF2B5EF4-FFF2-40B4-BE49-F238E27FC236}">
              <a16:creationId xmlns:a16="http://schemas.microsoft.com/office/drawing/2014/main" id="{30FDD164-2C41-486E-AE97-47236FD22EA7}"/>
            </a:ext>
          </a:extLst>
        </xdr:cNvPr>
        <xdr:cNvSpPr txBox="1"/>
      </xdr:nvSpPr>
      <xdr:spPr>
        <a:xfrm>
          <a:off x="4218214" y="965563"/>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1" name="テキスト ボックス 10">
          <a:extLst>
            <a:ext uri="{FF2B5EF4-FFF2-40B4-BE49-F238E27FC236}">
              <a16:creationId xmlns:a16="http://schemas.microsoft.com/office/drawing/2014/main" id="{5EDE1916-A2BC-47F5-B99C-BAA8C994B697}"/>
            </a:ext>
          </a:extLst>
        </xdr:cNvPr>
        <xdr:cNvSpPr txBox="1"/>
      </xdr:nvSpPr>
      <xdr:spPr>
        <a:xfrm>
          <a:off x="10907856"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2" name="テキスト ボックス 11">
          <a:extLst>
            <a:ext uri="{FF2B5EF4-FFF2-40B4-BE49-F238E27FC236}">
              <a16:creationId xmlns:a16="http://schemas.microsoft.com/office/drawing/2014/main" id="{2F383EAC-2857-4304-898A-B50A1306F776}"/>
            </a:ext>
          </a:extLst>
        </xdr:cNvPr>
        <xdr:cNvSpPr txBox="1"/>
      </xdr:nvSpPr>
      <xdr:spPr>
        <a:xfrm>
          <a:off x="32777256"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13" name="テキスト ボックス 12">
          <a:extLst>
            <a:ext uri="{FF2B5EF4-FFF2-40B4-BE49-F238E27FC236}">
              <a16:creationId xmlns:a16="http://schemas.microsoft.com/office/drawing/2014/main" id="{314AE28F-BE9B-4A29-AFBA-C0F1297F017B}"/>
            </a:ext>
          </a:extLst>
        </xdr:cNvPr>
        <xdr:cNvSpPr txBox="1"/>
      </xdr:nvSpPr>
      <xdr:spPr>
        <a:xfrm>
          <a:off x="412296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4" name="テキスト ボックス 13">
          <a:extLst>
            <a:ext uri="{FF2B5EF4-FFF2-40B4-BE49-F238E27FC236}">
              <a16:creationId xmlns:a16="http://schemas.microsoft.com/office/drawing/2014/main" id="{27EDE458-450E-4A50-B388-FB22B9B3D8C6}"/>
            </a:ext>
          </a:extLst>
        </xdr:cNvPr>
        <xdr:cNvSpPr txBox="1"/>
      </xdr:nvSpPr>
      <xdr:spPr>
        <a:xfrm>
          <a:off x="10907856"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5" name="テキスト ボックス 14">
          <a:extLst>
            <a:ext uri="{FF2B5EF4-FFF2-40B4-BE49-F238E27FC236}">
              <a16:creationId xmlns:a16="http://schemas.microsoft.com/office/drawing/2014/main" id="{DEE7E569-CC6F-4D1E-A8BE-7E8398ADAD90}"/>
            </a:ext>
          </a:extLst>
        </xdr:cNvPr>
        <xdr:cNvSpPr txBox="1"/>
      </xdr:nvSpPr>
      <xdr:spPr>
        <a:xfrm>
          <a:off x="32777256"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16" name="テキスト ボックス 15">
          <a:extLst>
            <a:ext uri="{FF2B5EF4-FFF2-40B4-BE49-F238E27FC236}">
              <a16:creationId xmlns:a16="http://schemas.microsoft.com/office/drawing/2014/main" id="{8A3F1BCB-267B-4AAA-A7E6-AD30C2B96D41}"/>
            </a:ext>
          </a:extLst>
        </xdr:cNvPr>
        <xdr:cNvSpPr txBox="1"/>
      </xdr:nvSpPr>
      <xdr:spPr>
        <a:xfrm>
          <a:off x="412296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17" name="テキスト ボックス 16">
          <a:extLst>
            <a:ext uri="{FF2B5EF4-FFF2-40B4-BE49-F238E27FC236}">
              <a16:creationId xmlns:a16="http://schemas.microsoft.com/office/drawing/2014/main" id="{04BAF175-88F8-4E81-B38D-C9F1ABFCF583}"/>
            </a:ext>
          </a:extLst>
        </xdr:cNvPr>
        <xdr:cNvSpPr txBox="1"/>
      </xdr:nvSpPr>
      <xdr:spPr>
        <a:xfrm>
          <a:off x="10907856" y="1059006"/>
          <a:ext cx="534872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18" name="テキスト ボックス 17">
          <a:extLst>
            <a:ext uri="{FF2B5EF4-FFF2-40B4-BE49-F238E27FC236}">
              <a16:creationId xmlns:a16="http://schemas.microsoft.com/office/drawing/2014/main" id="{05E9A19E-2B85-40EF-BF92-BB4C110D8E20}"/>
            </a:ext>
          </a:extLst>
        </xdr:cNvPr>
        <xdr:cNvSpPr txBox="1"/>
      </xdr:nvSpPr>
      <xdr:spPr>
        <a:xfrm>
          <a:off x="32777256"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19" name="テキスト ボックス 18">
          <a:extLst>
            <a:ext uri="{FF2B5EF4-FFF2-40B4-BE49-F238E27FC236}">
              <a16:creationId xmlns:a16="http://schemas.microsoft.com/office/drawing/2014/main" id="{A906409B-318D-4416-AB27-D49DBFEBE201}"/>
            </a:ext>
          </a:extLst>
        </xdr:cNvPr>
        <xdr:cNvSpPr txBox="1"/>
      </xdr:nvSpPr>
      <xdr:spPr>
        <a:xfrm>
          <a:off x="412296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20" name="テキスト ボックス 19">
          <a:extLst>
            <a:ext uri="{FF2B5EF4-FFF2-40B4-BE49-F238E27FC236}">
              <a16:creationId xmlns:a16="http://schemas.microsoft.com/office/drawing/2014/main" id="{377799FC-EB41-4EAF-A2B5-60D4F0CB06B3}"/>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21" name="テキスト ボックス 20">
          <a:extLst>
            <a:ext uri="{FF2B5EF4-FFF2-40B4-BE49-F238E27FC236}">
              <a16:creationId xmlns:a16="http://schemas.microsoft.com/office/drawing/2014/main" id="{CFB50AE5-0CD4-4386-A303-2A6C092F3673}"/>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22" name="テキスト ボックス 21">
          <a:extLst>
            <a:ext uri="{FF2B5EF4-FFF2-40B4-BE49-F238E27FC236}">
              <a16:creationId xmlns:a16="http://schemas.microsoft.com/office/drawing/2014/main" id="{71E12B3D-0E5F-4EAB-BBA1-713D5BB4B115}"/>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23" name="テキスト ボックス 22">
          <a:extLst>
            <a:ext uri="{FF2B5EF4-FFF2-40B4-BE49-F238E27FC236}">
              <a16:creationId xmlns:a16="http://schemas.microsoft.com/office/drawing/2014/main" id="{C42B803E-06A1-48A5-A4CC-6248A3670125}"/>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24" name="テキスト ボックス 23">
          <a:extLst>
            <a:ext uri="{FF2B5EF4-FFF2-40B4-BE49-F238E27FC236}">
              <a16:creationId xmlns:a16="http://schemas.microsoft.com/office/drawing/2014/main" id="{57B20053-7707-499F-8C50-8BC1E09D0244}"/>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25" name="テキスト ボックス 24">
          <a:extLst>
            <a:ext uri="{FF2B5EF4-FFF2-40B4-BE49-F238E27FC236}">
              <a16:creationId xmlns:a16="http://schemas.microsoft.com/office/drawing/2014/main" id="{4A807D59-041E-4BD5-B6FF-495966D841D4}"/>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26" name="テキスト ボックス 25">
          <a:extLst>
            <a:ext uri="{FF2B5EF4-FFF2-40B4-BE49-F238E27FC236}">
              <a16:creationId xmlns:a16="http://schemas.microsoft.com/office/drawing/2014/main" id="{21317CDD-34E2-444C-BD46-48EE019D46D5}"/>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27" name="テキスト ボックス 26">
          <a:extLst>
            <a:ext uri="{FF2B5EF4-FFF2-40B4-BE49-F238E27FC236}">
              <a16:creationId xmlns:a16="http://schemas.microsoft.com/office/drawing/2014/main" id="{3CDDEAA9-00EB-47C5-BE93-BE8B01F4069D}"/>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28" name="テキスト ボックス 27">
          <a:extLst>
            <a:ext uri="{FF2B5EF4-FFF2-40B4-BE49-F238E27FC236}">
              <a16:creationId xmlns:a16="http://schemas.microsoft.com/office/drawing/2014/main" id="{1B3C8051-C44D-43A1-A110-570D9EEE4932}"/>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29" name="テキスト ボックス 28">
          <a:extLst>
            <a:ext uri="{FF2B5EF4-FFF2-40B4-BE49-F238E27FC236}">
              <a16:creationId xmlns:a16="http://schemas.microsoft.com/office/drawing/2014/main" id="{627243FE-4935-452F-B4D4-8A050BC13DF3}"/>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0" name="テキスト ボックス 29">
          <a:extLst>
            <a:ext uri="{FF2B5EF4-FFF2-40B4-BE49-F238E27FC236}">
              <a16:creationId xmlns:a16="http://schemas.microsoft.com/office/drawing/2014/main" id="{F5B1295B-E2D8-4B0E-A1AB-93C87BBA73E3}"/>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31" name="テキスト ボックス 30">
          <a:extLst>
            <a:ext uri="{FF2B5EF4-FFF2-40B4-BE49-F238E27FC236}">
              <a16:creationId xmlns:a16="http://schemas.microsoft.com/office/drawing/2014/main" id="{B15A4350-F607-4D3B-B645-9A83EC687643}"/>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32" name="テキスト ボックス 31">
          <a:extLst>
            <a:ext uri="{FF2B5EF4-FFF2-40B4-BE49-F238E27FC236}">
              <a16:creationId xmlns:a16="http://schemas.microsoft.com/office/drawing/2014/main" id="{2B70AF7A-3C48-44AD-80F1-537C8725F666}"/>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3" name="テキスト ボックス 32">
          <a:extLst>
            <a:ext uri="{FF2B5EF4-FFF2-40B4-BE49-F238E27FC236}">
              <a16:creationId xmlns:a16="http://schemas.microsoft.com/office/drawing/2014/main" id="{E74C03B8-F926-48EE-A0B8-5B1FAD5E35CD}"/>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34" name="テキスト ボックス 33">
          <a:extLst>
            <a:ext uri="{FF2B5EF4-FFF2-40B4-BE49-F238E27FC236}">
              <a16:creationId xmlns:a16="http://schemas.microsoft.com/office/drawing/2014/main" id="{8D73F229-91D0-4952-BACA-B17D673A3778}"/>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35" name="テキスト ボックス 34">
          <a:extLst>
            <a:ext uri="{FF2B5EF4-FFF2-40B4-BE49-F238E27FC236}">
              <a16:creationId xmlns:a16="http://schemas.microsoft.com/office/drawing/2014/main" id="{062AFC37-68DA-45C2-8CE0-50CDD7ECAB2D}"/>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6" name="テキスト ボックス 35">
          <a:extLst>
            <a:ext uri="{FF2B5EF4-FFF2-40B4-BE49-F238E27FC236}">
              <a16:creationId xmlns:a16="http://schemas.microsoft.com/office/drawing/2014/main" id="{4550EC1C-78D8-4332-9880-FB49F3D99613}"/>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37" name="テキスト ボックス 36">
          <a:extLst>
            <a:ext uri="{FF2B5EF4-FFF2-40B4-BE49-F238E27FC236}">
              <a16:creationId xmlns:a16="http://schemas.microsoft.com/office/drawing/2014/main" id="{1583101A-A27A-433D-AB0C-577025BC3CA7}"/>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38" name="テキスト ボックス 37">
          <a:extLst>
            <a:ext uri="{FF2B5EF4-FFF2-40B4-BE49-F238E27FC236}">
              <a16:creationId xmlns:a16="http://schemas.microsoft.com/office/drawing/2014/main" id="{540D7EA3-A467-475E-A9A1-051292B64CCA}"/>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39" name="テキスト ボックス 38">
          <a:extLst>
            <a:ext uri="{FF2B5EF4-FFF2-40B4-BE49-F238E27FC236}">
              <a16:creationId xmlns:a16="http://schemas.microsoft.com/office/drawing/2014/main" id="{E1647C2A-DE19-4E03-87CE-976C2F6BBACC}"/>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40" name="テキスト ボックス 39">
          <a:extLst>
            <a:ext uri="{FF2B5EF4-FFF2-40B4-BE49-F238E27FC236}">
              <a16:creationId xmlns:a16="http://schemas.microsoft.com/office/drawing/2014/main" id="{8B5DDF5A-58D0-4AA4-85DF-326106F4DB11}"/>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41" name="テキスト ボックス 40">
          <a:extLst>
            <a:ext uri="{FF2B5EF4-FFF2-40B4-BE49-F238E27FC236}">
              <a16:creationId xmlns:a16="http://schemas.microsoft.com/office/drawing/2014/main" id="{64C7E7D4-04C2-4F99-BB18-EC09F1977EFF}"/>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2" name="テキスト ボックス 41">
          <a:extLst>
            <a:ext uri="{FF2B5EF4-FFF2-40B4-BE49-F238E27FC236}">
              <a16:creationId xmlns:a16="http://schemas.microsoft.com/office/drawing/2014/main" id="{8B55F4C9-7CFF-44D4-B54B-EDE6A63D1B9D}"/>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43" name="テキスト ボックス 42">
          <a:extLst>
            <a:ext uri="{FF2B5EF4-FFF2-40B4-BE49-F238E27FC236}">
              <a16:creationId xmlns:a16="http://schemas.microsoft.com/office/drawing/2014/main" id="{46F48B99-D6D2-4F5B-B78E-8A97D204BA9C}"/>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44" name="テキスト ボックス 43">
          <a:extLst>
            <a:ext uri="{FF2B5EF4-FFF2-40B4-BE49-F238E27FC236}">
              <a16:creationId xmlns:a16="http://schemas.microsoft.com/office/drawing/2014/main" id="{46EFD131-A40D-457B-9FE9-3D34CAF66BEF}"/>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5" name="テキスト ボックス 44">
          <a:extLst>
            <a:ext uri="{FF2B5EF4-FFF2-40B4-BE49-F238E27FC236}">
              <a16:creationId xmlns:a16="http://schemas.microsoft.com/office/drawing/2014/main" id="{24E41501-DFDD-4637-B99D-6C048CD02278}"/>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46" name="テキスト ボックス 45">
          <a:extLst>
            <a:ext uri="{FF2B5EF4-FFF2-40B4-BE49-F238E27FC236}">
              <a16:creationId xmlns:a16="http://schemas.microsoft.com/office/drawing/2014/main" id="{4772F5B0-632E-4D08-BF5A-429A9A637122}"/>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twoCellAnchor>
    <xdr:from>
      <xdr:col>5</xdr:col>
      <xdr:colOff>1506681</xdr:colOff>
      <xdr:row>2</xdr:row>
      <xdr:rowOff>173181</xdr:rowOff>
    </xdr:from>
    <xdr:to>
      <xdr:col>8</xdr:col>
      <xdr:colOff>883227</xdr:colOff>
      <xdr:row>2</xdr:row>
      <xdr:rowOff>484908</xdr:rowOff>
    </xdr:to>
    <xdr:sp macro="" textlink="">
      <xdr:nvSpPr>
        <xdr:cNvPr id="47" name="テキスト ボックス 46">
          <a:extLst>
            <a:ext uri="{FF2B5EF4-FFF2-40B4-BE49-F238E27FC236}">
              <a16:creationId xmlns:a16="http://schemas.microsoft.com/office/drawing/2014/main" id="{626717E7-CC26-485A-809F-E846B0864858}"/>
            </a:ext>
          </a:extLst>
        </xdr:cNvPr>
        <xdr:cNvSpPr txBox="1"/>
      </xdr:nvSpPr>
      <xdr:spPr>
        <a:xfrm>
          <a:off x="10898331" y="1059006"/>
          <a:ext cx="5329671"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rPr>
            <a:t>工事番号管理</a:t>
          </a:r>
        </a:p>
      </xdr:txBody>
    </xdr:sp>
    <xdr:clientData/>
  </xdr:twoCellAnchor>
  <xdr:twoCellAnchor>
    <xdr:from>
      <xdr:col>17</xdr:col>
      <xdr:colOff>1239981</xdr:colOff>
      <xdr:row>2</xdr:row>
      <xdr:rowOff>173181</xdr:rowOff>
    </xdr:from>
    <xdr:to>
      <xdr:col>20</xdr:col>
      <xdr:colOff>1988127</xdr:colOff>
      <xdr:row>2</xdr:row>
      <xdr:rowOff>484908</xdr:rowOff>
    </xdr:to>
    <xdr:sp macro="" textlink="">
      <xdr:nvSpPr>
        <xdr:cNvPr id="48" name="テキスト ボックス 47">
          <a:extLst>
            <a:ext uri="{FF2B5EF4-FFF2-40B4-BE49-F238E27FC236}">
              <a16:creationId xmlns:a16="http://schemas.microsoft.com/office/drawing/2014/main" id="{E9E99FFE-6D1E-41B0-8530-52E904672E17}"/>
            </a:ext>
          </a:extLst>
        </xdr:cNvPr>
        <xdr:cNvSpPr txBox="1"/>
      </xdr:nvSpPr>
      <xdr:spPr>
        <a:xfrm>
          <a:off x="32748681" y="1059006"/>
          <a:ext cx="6310746" cy="311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tx1"/>
              </a:solidFill>
              <a:latin typeface="メイリオ" panose="020B0604030504040204" pitchFamily="50" charset="-128"/>
              <a:ea typeface="メイリオ" panose="020B0604030504040204" pitchFamily="50" charset="-128"/>
            </a:rPr>
            <a:t>請求書提出依頼書</a:t>
          </a:r>
          <a:endParaRPr kumimoji="1" lang="en-US" altLang="ja-JP" sz="1600" b="1">
            <a:solidFill>
              <a:schemeClr val="tx1"/>
            </a:solidFill>
            <a:latin typeface="メイリオ" panose="020B0604030504040204" pitchFamily="50" charset="-128"/>
            <a:ea typeface="メイリオ" panose="020B0604030504040204" pitchFamily="50" charset="-128"/>
          </a:endParaRPr>
        </a:p>
        <a:p>
          <a:endParaRPr kumimoji="1" lang="ja-JP" altLang="en-US" sz="1600" b="1">
            <a:solidFill>
              <a:schemeClr val="tx1"/>
            </a:solidFill>
            <a:latin typeface="メイリオ" panose="020B0604030504040204" pitchFamily="50" charset="-128"/>
            <a:ea typeface="メイリオ" panose="020B0604030504040204" pitchFamily="50" charset="-128"/>
          </a:endParaRPr>
        </a:p>
      </xdr:txBody>
    </xdr:sp>
    <xdr:clientData/>
  </xdr:twoCellAnchor>
  <xdr:twoCellAnchor>
    <xdr:from>
      <xdr:col>4</xdr:col>
      <xdr:colOff>408214</xdr:colOff>
      <xdr:row>2</xdr:row>
      <xdr:rowOff>81643</xdr:rowOff>
    </xdr:from>
    <xdr:to>
      <xdr:col>4</xdr:col>
      <xdr:colOff>4381500</xdr:colOff>
      <xdr:row>2</xdr:row>
      <xdr:rowOff>1020536</xdr:rowOff>
    </xdr:to>
    <xdr:sp macro="" textlink="">
      <xdr:nvSpPr>
        <xdr:cNvPr id="49" name="テキスト ボックス 48">
          <a:extLst>
            <a:ext uri="{FF2B5EF4-FFF2-40B4-BE49-F238E27FC236}">
              <a16:creationId xmlns:a16="http://schemas.microsoft.com/office/drawing/2014/main" id="{D71021EA-CD70-487E-94ED-DD969123D0B3}"/>
            </a:ext>
          </a:extLst>
        </xdr:cNvPr>
        <xdr:cNvSpPr txBox="1"/>
      </xdr:nvSpPr>
      <xdr:spPr>
        <a:xfrm>
          <a:off x="4103914" y="967468"/>
          <a:ext cx="3973286" cy="938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latin typeface="Meiryo UI" panose="020B0604030504040204" pitchFamily="50" charset="-128"/>
              <a:ea typeface="Meiryo UI" panose="020B0604030504040204" pitchFamily="50" charset="-128"/>
            </a:rPr>
            <a:t>6/1</a:t>
          </a:r>
          <a:r>
            <a:rPr kumimoji="1" lang="ja-JP" altLang="en-US" sz="1100">
              <a:latin typeface="Meiryo UI" panose="020B0604030504040204" pitchFamily="50" charset="-128"/>
              <a:ea typeface="Meiryo UI" panose="020B0604030504040204" pitchFamily="50" charset="-128"/>
            </a:rPr>
            <a:t>～自動的に工事番号が変わる</a:t>
          </a:r>
        </a:p>
        <a:p>
          <a:r>
            <a:rPr kumimoji="1" lang="ja-JP" altLang="en-US" sz="1100">
              <a:latin typeface="Meiryo UI" panose="020B0604030504040204" pitchFamily="50" charset="-128"/>
              <a:ea typeface="Meiryo UI" panose="020B0604030504040204" pitchFamily="50" charset="-128"/>
            </a:rPr>
            <a:t>メンバーを増やす時には管理マスタにメンバーを増やす</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A1642-6418-49B1-BA7B-EFC95DE50AE7}">
  <sheetPr codeName="Sheet6"/>
  <dimension ref="A1"/>
  <sheetViews>
    <sheetView topLeftCell="A4" workbookViewId="0">
      <selection activeCell="M11" sqref="M11"/>
    </sheetView>
  </sheetViews>
  <sheetFormatPr defaultRowHeight="12" x14ac:dyDescent="0.15"/>
  <sheetData/>
  <phoneticPr fontId="3"/>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7C9C9-73E2-4A9A-98A8-9FC9CCDC4FFC}">
  <sheetPr codeName="Sheet5"/>
  <dimension ref="A1:Y173"/>
  <sheetViews>
    <sheetView zoomScale="55" zoomScaleNormal="55" zoomScaleSheetLayoutView="55" workbookViewId="0">
      <pane xSplit="4" ySplit="4" topLeftCell="E162" activePane="bottomRight" state="frozen"/>
      <selection pane="topRight" activeCell="E1" sqref="E1"/>
      <selection pane="bottomLeft" activeCell="A5" sqref="A5"/>
      <selection pane="bottomRight" sqref="A1:Y173"/>
    </sheetView>
  </sheetViews>
  <sheetFormatPr defaultColWidth="10.42578125" defaultRowHeight="27" customHeight="1" x14ac:dyDescent="0.15"/>
  <cols>
    <col min="1" max="2" width="10.140625" customWidth="1"/>
    <col min="3" max="3" width="13.5703125" customWidth="1"/>
    <col min="4" max="4" width="21.5703125" customWidth="1"/>
    <col min="5" max="5" width="85.42578125" customWidth="1"/>
    <col min="6" max="6" width="48.140625" customWidth="1"/>
    <col min="7" max="8" width="20.5703125" customWidth="1"/>
    <col min="9" max="9" width="14.42578125" customWidth="1"/>
    <col min="10" max="10" width="20.140625" customWidth="1"/>
    <col min="11" max="11" width="29.140625" customWidth="1"/>
    <col min="12" max="12" width="16.5703125" customWidth="1"/>
    <col min="13" max="13" width="69.140625" customWidth="1"/>
    <col min="14" max="14" width="28.42578125" customWidth="1"/>
    <col min="15" max="15" width="21.85546875" customWidth="1"/>
    <col min="16" max="16" width="20.85546875" customWidth="1"/>
    <col min="17" max="17" width="21.85546875" customWidth="1"/>
    <col min="18" max="18" width="20" customWidth="1"/>
    <col min="19" max="19" width="41.42578125" customWidth="1"/>
    <col min="20" max="20" width="22" customWidth="1"/>
    <col min="21" max="21" width="55.42578125" customWidth="1"/>
    <col min="22" max="22" width="26.42578125" customWidth="1"/>
    <col min="23" max="23" width="45.42578125" customWidth="1"/>
    <col min="24" max="24" width="95" customWidth="1"/>
    <col min="25" max="25" width="63" customWidth="1"/>
    <col min="26" max="31" width="5.140625" customWidth="1"/>
    <col min="32" max="32" width="15.28515625" customWidth="1"/>
    <col min="33" max="44" width="18.28515625" customWidth="1"/>
    <col min="45" max="56" width="19.42578125" customWidth="1"/>
    <col min="57" max="57" width="23.7109375" customWidth="1"/>
  </cols>
  <sheetData>
    <row r="1" spans="1:25" ht="27" customHeight="1" x14ac:dyDescent="0.15">
      <c r="A1" s="316"/>
      <c r="B1" s="317"/>
      <c r="C1" s="317"/>
      <c r="D1" s="88"/>
      <c r="E1" s="86"/>
      <c r="F1" s="86"/>
      <c r="G1" s="89"/>
      <c r="H1" s="90"/>
      <c r="I1" s="90"/>
      <c r="J1" s="90"/>
      <c r="K1" s="91"/>
      <c r="L1" s="88"/>
      <c r="M1" s="92"/>
      <c r="N1" s="89"/>
      <c r="O1" s="89"/>
      <c r="P1" s="89"/>
      <c r="Q1" s="89"/>
      <c r="R1" s="89"/>
      <c r="S1" s="89"/>
      <c r="T1" s="89"/>
      <c r="U1" s="89"/>
      <c r="V1" s="89"/>
      <c r="W1" s="89"/>
      <c r="X1" s="93"/>
      <c r="Y1" s="93"/>
    </row>
    <row r="2" spans="1:25" ht="42.75" customHeight="1" x14ac:dyDescent="0.25">
      <c r="A2" s="318"/>
      <c r="B2" s="318"/>
      <c r="C2" s="318"/>
      <c r="D2" s="318"/>
      <c r="E2" s="94"/>
      <c r="F2" s="86"/>
      <c r="G2" s="94"/>
      <c r="H2" s="94"/>
      <c r="I2" s="94"/>
      <c r="J2" s="94"/>
      <c r="K2" s="95"/>
      <c r="L2" s="94"/>
      <c r="M2" s="96">
        <f ca="1">TODAY()</f>
        <v>46160</v>
      </c>
      <c r="N2" s="94"/>
      <c r="O2" s="94"/>
      <c r="P2" s="94"/>
      <c r="Q2" s="94"/>
      <c r="R2" s="94"/>
      <c r="S2" s="94"/>
      <c r="T2" s="94"/>
      <c r="U2" s="94"/>
      <c r="V2" s="94"/>
      <c r="W2" s="94"/>
      <c r="X2" s="86"/>
      <c r="Y2" s="86"/>
    </row>
    <row r="3" spans="1:25" ht="92.25" customHeight="1" x14ac:dyDescent="0.15">
      <c r="A3" s="29"/>
      <c r="B3" s="30"/>
      <c r="C3" s="97"/>
      <c r="D3" s="97"/>
      <c r="E3" s="98"/>
      <c r="F3" s="98"/>
      <c r="G3" s="99"/>
      <c r="H3" s="99"/>
      <c r="I3" s="99"/>
      <c r="J3" s="99"/>
      <c r="K3" s="100"/>
      <c r="L3" s="101"/>
      <c r="M3" s="102"/>
      <c r="N3" s="41"/>
      <c r="O3" s="103"/>
      <c r="P3" s="103"/>
      <c r="Q3" s="103"/>
      <c r="R3" s="103"/>
      <c r="S3" s="103"/>
      <c r="T3" s="103"/>
      <c r="U3" s="103"/>
      <c r="V3" s="103"/>
      <c r="W3" s="103"/>
      <c r="X3" s="104"/>
      <c r="Y3" s="105"/>
    </row>
    <row r="4" spans="1:25" ht="70.5" customHeight="1" x14ac:dyDescent="0.15">
      <c r="A4" s="31" t="s">
        <v>0</v>
      </c>
      <c r="B4" s="32" t="s">
        <v>1</v>
      </c>
      <c r="C4" s="33" t="s">
        <v>2</v>
      </c>
      <c r="D4" s="34" t="s">
        <v>3</v>
      </c>
      <c r="E4" s="35" t="s">
        <v>4</v>
      </c>
      <c r="F4" s="35" t="s">
        <v>5</v>
      </c>
      <c r="G4" s="36" t="s">
        <v>6</v>
      </c>
      <c r="H4" s="36" t="s">
        <v>7</v>
      </c>
      <c r="I4" s="36" t="s">
        <v>8</v>
      </c>
      <c r="J4" s="36" t="s">
        <v>9</v>
      </c>
      <c r="K4" s="37" t="s">
        <v>10</v>
      </c>
      <c r="L4" s="38" t="s">
        <v>11</v>
      </c>
      <c r="M4" s="106" t="s">
        <v>12</v>
      </c>
      <c r="N4" s="39" t="s">
        <v>13</v>
      </c>
      <c r="O4" s="40" t="s">
        <v>14</v>
      </c>
      <c r="P4" s="40" t="s">
        <v>15</v>
      </c>
      <c r="Q4" s="40" t="s">
        <v>16</v>
      </c>
      <c r="R4" s="41" t="s">
        <v>17</v>
      </c>
      <c r="S4" s="40" t="s">
        <v>18</v>
      </c>
      <c r="T4" s="40" t="s">
        <v>19</v>
      </c>
      <c r="U4" s="40" t="s">
        <v>20</v>
      </c>
      <c r="V4" s="40" t="s">
        <v>21</v>
      </c>
      <c r="W4" s="40" t="s">
        <v>22</v>
      </c>
      <c r="X4" s="107" t="s">
        <v>23</v>
      </c>
      <c r="Y4" s="107"/>
    </row>
    <row r="5" spans="1:25" ht="27" customHeight="1" x14ac:dyDescent="0.15">
      <c r="A5" s="108">
        <v>2025</v>
      </c>
      <c r="B5" s="108">
        <v>1</v>
      </c>
      <c r="C5" s="108" t="s">
        <v>205</v>
      </c>
      <c r="D5" s="109" t="s">
        <v>24</v>
      </c>
      <c r="E5" s="110" t="s">
        <v>533</v>
      </c>
      <c r="F5" s="110" t="s">
        <v>25</v>
      </c>
      <c r="G5" s="111">
        <v>45901</v>
      </c>
      <c r="H5" s="112">
        <v>46112</v>
      </c>
      <c r="I5" s="112" t="s">
        <v>248</v>
      </c>
      <c r="J5" s="112">
        <v>45650</v>
      </c>
      <c r="K5" s="113">
        <v>460000000</v>
      </c>
      <c r="L5" s="114" t="s">
        <v>248</v>
      </c>
      <c r="M5" s="110"/>
      <c r="N5" s="115" t="s">
        <v>26</v>
      </c>
      <c r="O5" s="116"/>
      <c r="P5" s="116"/>
      <c r="Q5" s="116"/>
      <c r="R5" s="116"/>
      <c r="S5" s="116"/>
      <c r="T5" s="116"/>
      <c r="U5" s="116"/>
      <c r="V5" s="116"/>
      <c r="W5" s="116"/>
      <c r="X5" s="117"/>
      <c r="Y5" s="117"/>
    </row>
    <row r="6" spans="1:25" ht="27" customHeight="1" x14ac:dyDescent="0.15">
      <c r="A6" s="108">
        <v>2025</v>
      </c>
      <c r="B6" s="108">
        <v>2</v>
      </c>
      <c r="C6" s="108" t="s">
        <v>205</v>
      </c>
      <c r="D6" s="109" t="s">
        <v>27</v>
      </c>
      <c r="E6" s="110" t="s">
        <v>28</v>
      </c>
      <c r="F6" s="118" t="s">
        <v>29</v>
      </c>
      <c r="G6" s="119">
        <v>45597</v>
      </c>
      <c r="H6" s="119">
        <v>45898</v>
      </c>
      <c r="I6" s="112" t="s">
        <v>248</v>
      </c>
      <c r="J6" s="119">
        <v>45588</v>
      </c>
      <c r="K6" s="120">
        <v>376000000</v>
      </c>
      <c r="L6" s="114" t="s">
        <v>248</v>
      </c>
      <c r="M6" s="121"/>
      <c r="N6" s="115" t="s">
        <v>26</v>
      </c>
      <c r="O6" s="116"/>
      <c r="P6" s="116"/>
      <c r="Q6" s="116"/>
      <c r="R6" s="116"/>
      <c r="S6" s="116"/>
      <c r="T6" s="116"/>
      <c r="U6" s="116"/>
      <c r="V6" s="116"/>
      <c r="W6" s="116"/>
      <c r="X6" s="117"/>
      <c r="Y6" s="117"/>
    </row>
    <row r="7" spans="1:25" ht="27" customHeight="1" x14ac:dyDescent="0.15">
      <c r="A7" s="108">
        <v>2025</v>
      </c>
      <c r="B7" s="108">
        <v>3</v>
      </c>
      <c r="C7" s="108" t="s">
        <v>205</v>
      </c>
      <c r="D7" s="109" t="s">
        <v>30</v>
      </c>
      <c r="E7" s="110" t="s">
        <v>31</v>
      </c>
      <c r="F7" s="110" t="s">
        <v>32</v>
      </c>
      <c r="G7" s="111">
        <v>45809</v>
      </c>
      <c r="H7" s="112">
        <v>46053</v>
      </c>
      <c r="I7" s="112" t="s">
        <v>248</v>
      </c>
      <c r="J7" s="112">
        <v>45383</v>
      </c>
      <c r="K7" s="113">
        <v>383000000</v>
      </c>
      <c r="L7" s="114" t="s">
        <v>248</v>
      </c>
      <c r="M7" s="110"/>
      <c r="N7" s="115" t="s">
        <v>26</v>
      </c>
      <c r="O7" s="116"/>
      <c r="P7" s="116"/>
      <c r="Q7" s="116"/>
      <c r="R7" s="116"/>
      <c r="S7" s="116"/>
      <c r="T7" s="116"/>
      <c r="U7" s="116"/>
      <c r="V7" s="116"/>
      <c r="W7" s="116"/>
      <c r="X7" s="122" t="s">
        <v>534</v>
      </c>
      <c r="Y7" s="117"/>
    </row>
    <row r="8" spans="1:25" ht="27" customHeight="1" x14ac:dyDescent="0.15">
      <c r="A8" s="42">
        <v>2025</v>
      </c>
      <c r="B8" s="42">
        <v>4</v>
      </c>
      <c r="C8" s="42" t="s">
        <v>205</v>
      </c>
      <c r="D8" s="123" t="s">
        <v>30</v>
      </c>
      <c r="E8" s="124" t="s">
        <v>33</v>
      </c>
      <c r="F8" s="124" t="s">
        <v>32</v>
      </c>
      <c r="G8" s="125">
        <v>45946</v>
      </c>
      <c r="H8" s="125">
        <v>46006</v>
      </c>
      <c r="I8" s="126" t="s">
        <v>248</v>
      </c>
      <c r="J8" s="126">
        <v>45383</v>
      </c>
      <c r="K8" s="127">
        <v>32100000</v>
      </c>
      <c r="L8" s="43" t="s">
        <v>248</v>
      </c>
      <c r="M8" s="128"/>
      <c r="N8" s="125" t="s">
        <v>26</v>
      </c>
      <c r="O8" s="116"/>
      <c r="P8" s="116"/>
      <c r="Q8" s="116"/>
      <c r="R8" s="116"/>
      <c r="S8" s="116"/>
      <c r="T8" s="116"/>
      <c r="U8" s="116"/>
      <c r="V8" s="116"/>
      <c r="W8" s="116"/>
      <c r="X8" s="117"/>
      <c r="Y8" s="117"/>
    </row>
    <row r="9" spans="1:25" ht="27" customHeight="1" x14ac:dyDescent="0.15">
      <c r="A9" s="108">
        <v>2025</v>
      </c>
      <c r="B9" s="108">
        <v>5</v>
      </c>
      <c r="C9" s="108" t="s">
        <v>205</v>
      </c>
      <c r="D9" s="108" t="s">
        <v>34</v>
      </c>
      <c r="E9" s="110" t="s">
        <v>535</v>
      </c>
      <c r="F9" s="110" t="s">
        <v>35</v>
      </c>
      <c r="G9" s="111">
        <v>45555</v>
      </c>
      <c r="H9" s="112">
        <v>45945</v>
      </c>
      <c r="I9" s="112" t="s">
        <v>248</v>
      </c>
      <c r="J9" s="112">
        <v>45555</v>
      </c>
      <c r="K9" s="113">
        <v>600000</v>
      </c>
      <c r="L9" s="114" t="s">
        <v>248</v>
      </c>
      <c r="M9" s="129"/>
      <c r="N9" s="125" t="s">
        <v>26</v>
      </c>
      <c r="O9" s="116"/>
      <c r="P9" s="116"/>
      <c r="Q9" s="116"/>
      <c r="R9" s="116"/>
      <c r="S9" s="116"/>
      <c r="T9" s="116"/>
      <c r="U9" s="116"/>
      <c r="V9" s="116"/>
      <c r="W9" s="116"/>
      <c r="X9" s="117"/>
      <c r="Y9" s="117"/>
    </row>
    <row r="10" spans="1:25" ht="27" customHeight="1" x14ac:dyDescent="0.15">
      <c r="A10" s="108">
        <v>2025</v>
      </c>
      <c r="B10" s="108">
        <v>6</v>
      </c>
      <c r="C10" s="108" t="s">
        <v>205</v>
      </c>
      <c r="D10" s="108" t="s">
        <v>36</v>
      </c>
      <c r="E10" s="110" t="s">
        <v>536</v>
      </c>
      <c r="F10" s="118" t="s">
        <v>267</v>
      </c>
      <c r="G10" s="111">
        <v>45689</v>
      </c>
      <c r="H10" s="112">
        <v>45930</v>
      </c>
      <c r="I10" s="112" t="s">
        <v>248</v>
      </c>
      <c r="J10" s="112">
        <v>45566</v>
      </c>
      <c r="K10" s="113">
        <v>116000000</v>
      </c>
      <c r="L10" s="114" t="s">
        <v>248</v>
      </c>
      <c r="M10" s="129"/>
      <c r="N10" s="125" t="s">
        <v>26</v>
      </c>
      <c r="O10" s="116"/>
      <c r="P10" s="116"/>
      <c r="Q10" s="116"/>
      <c r="R10" s="116"/>
      <c r="S10" s="116"/>
      <c r="T10" s="116"/>
      <c r="U10" s="116"/>
      <c r="V10" s="116"/>
      <c r="W10" s="116"/>
      <c r="X10" s="117"/>
      <c r="Y10" s="117"/>
    </row>
    <row r="11" spans="1:25" ht="27" customHeight="1" x14ac:dyDescent="0.15">
      <c r="A11" s="42">
        <v>2025</v>
      </c>
      <c r="B11" s="42">
        <v>7</v>
      </c>
      <c r="C11" s="42" t="s">
        <v>205</v>
      </c>
      <c r="D11" s="42" t="s">
        <v>37</v>
      </c>
      <c r="E11" s="128" t="s">
        <v>38</v>
      </c>
      <c r="F11" s="128" t="s">
        <v>39</v>
      </c>
      <c r="G11" s="115">
        <v>45708</v>
      </c>
      <c r="H11" s="126">
        <v>45900</v>
      </c>
      <c r="I11" s="126" t="s">
        <v>248</v>
      </c>
      <c r="J11" s="126">
        <v>45686</v>
      </c>
      <c r="K11" s="130">
        <v>116060000</v>
      </c>
      <c r="L11" s="43" t="s">
        <v>248</v>
      </c>
      <c r="M11" s="131"/>
      <c r="N11" s="115" t="s">
        <v>26</v>
      </c>
      <c r="O11" s="116"/>
      <c r="P11" s="116"/>
      <c r="Q11" s="116"/>
      <c r="R11" s="116"/>
      <c r="S11" s="116"/>
      <c r="T11" s="116"/>
      <c r="U11" s="116"/>
      <c r="V11" s="116"/>
      <c r="W11" s="116"/>
      <c r="X11" s="117"/>
      <c r="Y11" s="132"/>
    </row>
    <row r="12" spans="1:25" ht="27" customHeight="1" x14ac:dyDescent="0.15">
      <c r="A12" s="43">
        <v>2025</v>
      </c>
      <c r="B12" s="42">
        <v>8</v>
      </c>
      <c r="C12" s="43" t="s">
        <v>205</v>
      </c>
      <c r="D12" s="43" t="s">
        <v>40</v>
      </c>
      <c r="E12" s="133" t="s">
        <v>41</v>
      </c>
      <c r="F12" s="133" t="s">
        <v>268</v>
      </c>
      <c r="G12" s="116">
        <v>45704</v>
      </c>
      <c r="H12" s="126">
        <v>45823</v>
      </c>
      <c r="I12" s="126" t="s">
        <v>248</v>
      </c>
      <c r="J12" s="126">
        <v>45687</v>
      </c>
      <c r="K12" s="130">
        <v>38200000</v>
      </c>
      <c r="L12" s="43" t="s">
        <v>248</v>
      </c>
      <c r="M12" s="134"/>
      <c r="N12" s="116" t="s">
        <v>42</v>
      </c>
      <c r="O12" s="116"/>
      <c r="P12" s="116"/>
      <c r="Q12" s="116"/>
      <c r="R12" s="116"/>
      <c r="S12" s="116"/>
      <c r="T12" s="116"/>
      <c r="U12" s="116"/>
      <c r="V12" s="116"/>
      <c r="W12" s="116"/>
      <c r="X12" s="117"/>
      <c r="Y12" s="117"/>
    </row>
    <row r="13" spans="1:25" ht="27" customHeight="1" x14ac:dyDescent="0.15">
      <c r="A13" s="135">
        <v>2025</v>
      </c>
      <c r="B13" s="135">
        <v>9</v>
      </c>
      <c r="C13" s="135" t="s">
        <v>205</v>
      </c>
      <c r="D13" s="135" t="s">
        <v>43</v>
      </c>
      <c r="E13" s="136" t="s">
        <v>44</v>
      </c>
      <c r="F13" s="136" t="s">
        <v>45</v>
      </c>
      <c r="G13" s="137">
        <v>45839</v>
      </c>
      <c r="H13" s="138">
        <v>45869</v>
      </c>
      <c r="I13" s="138" t="s">
        <v>248</v>
      </c>
      <c r="J13" s="138">
        <v>45748</v>
      </c>
      <c r="K13" s="139">
        <v>360000</v>
      </c>
      <c r="L13" s="140" t="s">
        <v>248</v>
      </c>
      <c r="M13" s="141"/>
      <c r="N13" s="137">
        <v>45905</v>
      </c>
      <c r="O13" s="142" t="s">
        <v>333</v>
      </c>
      <c r="P13" s="142" t="s">
        <v>75</v>
      </c>
      <c r="Q13" s="142">
        <v>45905</v>
      </c>
      <c r="R13" s="142">
        <v>45878</v>
      </c>
      <c r="S13" s="142" t="s">
        <v>332</v>
      </c>
      <c r="T13" s="142" t="s">
        <v>327</v>
      </c>
      <c r="U13" s="142" t="s">
        <v>328</v>
      </c>
      <c r="V13" s="142" t="s">
        <v>329</v>
      </c>
      <c r="W13" s="142" t="s">
        <v>330</v>
      </c>
      <c r="X13" s="143" t="s">
        <v>537</v>
      </c>
      <c r="Y13" s="143"/>
    </row>
    <row r="14" spans="1:25" ht="27" customHeight="1" x14ac:dyDescent="0.15">
      <c r="A14" s="108">
        <v>2025</v>
      </c>
      <c r="B14" s="108">
        <v>10</v>
      </c>
      <c r="C14" s="108" t="s">
        <v>205</v>
      </c>
      <c r="D14" s="108" t="s">
        <v>269</v>
      </c>
      <c r="E14" s="110" t="s">
        <v>270</v>
      </c>
      <c r="F14" s="110" t="s">
        <v>271</v>
      </c>
      <c r="G14" s="111">
        <v>45962</v>
      </c>
      <c r="H14" s="112">
        <v>46265</v>
      </c>
      <c r="I14" s="112" t="s">
        <v>248</v>
      </c>
      <c r="J14" s="112">
        <v>45922</v>
      </c>
      <c r="K14" s="113">
        <v>76700000</v>
      </c>
      <c r="L14" s="114" t="s">
        <v>352</v>
      </c>
      <c r="M14" s="129"/>
      <c r="N14" s="116" t="s">
        <v>42</v>
      </c>
      <c r="O14" s="116"/>
      <c r="P14" s="116"/>
      <c r="Q14" s="116"/>
      <c r="R14" s="116"/>
      <c r="S14" s="116"/>
      <c r="T14" s="116"/>
      <c r="U14" s="116"/>
      <c r="V14" s="116"/>
      <c r="W14" s="116"/>
      <c r="X14" s="117" t="s">
        <v>538</v>
      </c>
      <c r="Y14" s="117"/>
    </row>
    <row r="15" spans="1:25" ht="27" customHeight="1" x14ac:dyDescent="0.15">
      <c r="A15" s="44">
        <v>2025</v>
      </c>
      <c r="B15" s="144">
        <v>11</v>
      </c>
      <c r="C15" s="44" t="s">
        <v>205</v>
      </c>
      <c r="D15" s="44" t="s">
        <v>46</v>
      </c>
      <c r="E15" s="145" t="s">
        <v>47</v>
      </c>
      <c r="F15" s="145" t="s">
        <v>48</v>
      </c>
      <c r="G15" s="146">
        <v>45809</v>
      </c>
      <c r="H15" s="147">
        <v>45912</v>
      </c>
      <c r="I15" s="147"/>
      <c r="J15" s="147"/>
      <c r="K15" s="148">
        <v>320000</v>
      </c>
      <c r="L15" s="44" t="s">
        <v>248</v>
      </c>
      <c r="M15" s="149"/>
      <c r="N15" s="146">
        <v>45932</v>
      </c>
      <c r="O15" s="146" t="s">
        <v>539</v>
      </c>
      <c r="P15" s="146" t="s">
        <v>75</v>
      </c>
      <c r="Q15" s="146">
        <v>45932</v>
      </c>
      <c r="R15" s="146"/>
      <c r="S15" s="146" t="s">
        <v>330</v>
      </c>
      <c r="T15" s="146" t="s">
        <v>327</v>
      </c>
      <c r="U15" s="146" t="s">
        <v>540</v>
      </c>
      <c r="V15" s="146" t="s">
        <v>329</v>
      </c>
      <c r="W15" s="146" t="s">
        <v>330</v>
      </c>
      <c r="X15" s="132" t="s">
        <v>541</v>
      </c>
      <c r="Y15" s="117"/>
    </row>
    <row r="16" spans="1:25" ht="27" customHeight="1" x14ac:dyDescent="0.15">
      <c r="A16" s="43">
        <v>2025</v>
      </c>
      <c r="B16" s="42">
        <v>12</v>
      </c>
      <c r="C16" s="43" t="s">
        <v>205</v>
      </c>
      <c r="D16" s="43" t="s">
        <v>49</v>
      </c>
      <c r="E16" s="133" t="s">
        <v>50</v>
      </c>
      <c r="F16" s="133" t="s">
        <v>51</v>
      </c>
      <c r="G16" s="126" t="s">
        <v>218</v>
      </c>
      <c r="H16" s="126" t="s">
        <v>218</v>
      </c>
      <c r="I16" s="126" t="s">
        <v>218</v>
      </c>
      <c r="J16" s="126" t="s">
        <v>218</v>
      </c>
      <c r="K16" s="126" t="s">
        <v>218</v>
      </c>
      <c r="L16" s="43" t="s">
        <v>248</v>
      </c>
      <c r="M16" s="150"/>
      <c r="N16" s="116" t="s">
        <v>26</v>
      </c>
      <c r="O16" s="116"/>
      <c r="P16" s="116"/>
      <c r="Q16" s="116"/>
      <c r="R16" s="116"/>
      <c r="S16" s="116"/>
      <c r="T16" s="116"/>
      <c r="U16" s="116"/>
      <c r="V16" s="116"/>
      <c r="W16" s="116"/>
      <c r="X16" s="117"/>
      <c r="Y16" s="117"/>
    </row>
    <row r="17" spans="1:25" ht="27" customHeight="1" x14ac:dyDescent="0.15">
      <c r="A17" s="114">
        <v>2025</v>
      </c>
      <c r="B17" s="108">
        <v>13</v>
      </c>
      <c r="C17" s="114" t="s">
        <v>205</v>
      </c>
      <c r="D17" s="114" t="s">
        <v>52</v>
      </c>
      <c r="E17" s="151" t="s">
        <v>53</v>
      </c>
      <c r="F17" s="151" t="s">
        <v>39</v>
      </c>
      <c r="G17" s="152">
        <v>46032</v>
      </c>
      <c r="H17" s="112">
        <v>46063</v>
      </c>
      <c r="I17" s="112" t="s">
        <v>352</v>
      </c>
      <c r="J17" s="112">
        <v>46032</v>
      </c>
      <c r="K17" s="113">
        <v>2950000</v>
      </c>
      <c r="L17" s="114" t="s">
        <v>248</v>
      </c>
      <c r="M17" s="153"/>
      <c r="N17" s="116" t="s">
        <v>26</v>
      </c>
      <c r="O17" s="116"/>
      <c r="P17" s="116"/>
      <c r="Q17" s="116"/>
      <c r="R17" s="116"/>
      <c r="S17" s="116"/>
      <c r="T17" s="116"/>
      <c r="U17" s="116"/>
      <c r="V17" s="116"/>
      <c r="W17" s="116"/>
      <c r="X17" s="117"/>
      <c r="Y17" s="154"/>
    </row>
    <row r="18" spans="1:25" ht="27" customHeight="1" x14ac:dyDescent="0.15">
      <c r="A18" s="108">
        <v>2025</v>
      </c>
      <c r="B18" s="108">
        <v>14</v>
      </c>
      <c r="C18" s="108" t="s">
        <v>207</v>
      </c>
      <c r="D18" s="108" t="s">
        <v>54</v>
      </c>
      <c r="E18" s="110" t="s">
        <v>55</v>
      </c>
      <c r="F18" s="110" t="s">
        <v>104</v>
      </c>
      <c r="G18" s="111">
        <v>45778</v>
      </c>
      <c r="H18" s="112">
        <v>45961</v>
      </c>
      <c r="I18" s="112"/>
      <c r="J18" s="112"/>
      <c r="K18" s="113">
        <v>56800000</v>
      </c>
      <c r="L18" s="114" t="s">
        <v>248</v>
      </c>
      <c r="M18" s="129"/>
      <c r="N18" s="115" t="s">
        <v>42</v>
      </c>
      <c r="O18" s="116"/>
      <c r="P18" s="116"/>
      <c r="Q18" s="116"/>
      <c r="R18" s="116"/>
      <c r="S18" s="116"/>
      <c r="T18" s="116"/>
      <c r="U18" s="116"/>
      <c r="V18" s="116"/>
      <c r="W18" s="116"/>
      <c r="X18" s="117"/>
      <c r="Y18" s="155"/>
    </row>
    <row r="19" spans="1:25" ht="27" customHeight="1" x14ac:dyDescent="0.15">
      <c r="A19" s="43">
        <v>2025</v>
      </c>
      <c r="B19" s="42">
        <v>15</v>
      </c>
      <c r="C19" s="156" t="s">
        <v>529</v>
      </c>
      <c r="D19" s="43" t="s">
        <v>56</v>
      </c>
      <c r="E19" s="157" t="s">
        <v>57</v>
      </c>
      <c r="F19" s="133" t="s">
        <v>271</v>
      </c>
      <c r="G19" s="116">
        <v>45636</v>
      </c>
      <c r="H19" s="126">
        <v>45828</v>
      </c>
      <c r="I19" s="126" t="s">
        <v>248</v>
      </c>
      <c r="J19" s="126">
        <v>45723</v>
      </c>
      <c r="K19" s="130">
        <v>10000000</v>
      </c>
      <c r="L19" s="43" t="s">
        <v>248</v>
      </c>
      <c r="M19" s="150"/>
      <c r="N19" s="125" t="s">
        <v>26</v>
      </c>
      <c r="O19" s="125"/>
      <c r="P19" s="125"/>
      <c r="Q19" s="125"/>
      <c r="R19" s="125"/>
      <c r="S19" s="125"/>
      <c r="T19" s="125"/>
      <c r="U19" s="125"/>
      <c r="V19" s="125"/>
      <c r="W19" s="125"/>
      <c r="X19" s="154"/>
      <c r="Y19" s="117"/>
    </row>
    <row r="20" spans="1:25" ht="27" customHeight="1" x14ac:dyDescent="0.15">
      <c r="A20" s="135">
        <v>2025</v>
      </c>
      <c r="B20" s="135">
        <v>16</v>
      </c>
      <c r="C20" s="140" t="s">
        <v>205</v>
      </c>
      <c r="D20" s="135" t="s">
        <v>58</v>
      </c>
      <c r="E20" s="136" t="s">
        <v>59</v>
      </c>
      <c r="F20" s="136"/>
      <c r="G20" s="137"/>
      <c r="H20" s="138"/>
      <c r="I20" s="158"/>
      <c r="J20" s="158"/>
      <c r="K20" s="135" t="s">
        <v>26</v>
      </c>
      <c r="L20" s="135" t="s">
        <v>218</v>
      </c>
      <c r="M20" s="159"/>
      <c r="N20" s="160" t="s">
        <v>26</v>
      </c>
      <c r="O20" s="160" t="s">
        <v>26</v>
      </c>
      <c r="P20" s="160" t="s">
        <v>26</v>
      </c>
      <c r="Q20" s="160" t="s">
        <v>26</v>
      </c>
      <c r="R20" s="160" t="s">
        <v>26</v>
      </c>
      <c r="S20" s="160" t="s">
        <v>26</v>
      </c>
      <c r="T20" s="160" t="s">
        <v>26</v>
      </c>
      <c r="U20" s="160" t="s">
        <v>26</v>
      </c>
      <c r="V20" s="160" t="s">
        <v>26</v>
      </c>
      <c r="W20" s="160" t="s">
        <v>26</v>
      </c>
      <c r="X20" s="155"/>
      <c r="Y20" s="117"/>
    </row>
    <row r="21" spans="1:25" ht="27" customHeight="1" x14ac:dyDescent="0.15">
      <c r="A21" s="114">
        <v>2025</v>
      </c>
      <c r="B21" s="108">
        <v>17</v>
      </c>
      <c r="C21" s="114" t="s">
        <v>205</v>
      </c>
      <c r="D21" s="114" t="s">
        <v>60</v>
      </c>
      <c r="E21" s="151" t="s">
        <v>61</v>
      </c>
      <c r="F21" s="151" t="s">
        <v>62</v>
      </c>
      <c r="G21" s="152"/>
      <c r="H21" s="112"/>
      <c r="I21" s="112"/>
      <c r="J21" s="112" t="s">
        <v>542</v>
      </c>
      <c r="K21" s="113">
        <f>23000000+114000000</f>
        <v>137000000</v>
      </c>
      <c r="L21" s="114" t="s">
        <v>248</v>
      </c>
      <c r="M21" s="161" t="s">
        <v>543</v>
      </c>
      <c r="N21" s="152" t="s">
        <v>26</v>
      </c>
      <c r="O21" s="152"/>
      <c r="P21" s="152"/>
      <c r="Q21" s="152"/>
      <c r="R21" s="152"/>
      <c r="S21" s="152"/>
      <c r="T21" s="152"/>
      <c r="U21" s="152"/>
      <c r="V21" s="152"/>
      <c r="W21" s="152"/>
      <c r="X21" s="162"/>
      <c r="Y21" s="162"/>
    </row>
    <row r="22" spans="1:25" ht="27" customHeight="1" x14ac:dyDescent="0.15">
      <c r="A22" s="114">
        <v>2025</v>
      </c>
      <c r="B22" s="108">
        <v>18</v>
      </c>
      <c r="C22" s="114" t="s">
        <v>212</v>
      </c>
      <c r="D22" s="114" t="s">
        <v>63</v>
      </c>
      <c r="E22" s="151" t="s">
        <v>544</v>
      </c>
      <c r="F22" s="151" t="s">
        <v>545</v>
      </c>
      <c r="G22" s="152">
        <v>45992</v>
      </c>
      <c r="H22" s="112">
        <v>46295</v>
      </c>
      <c r="I22" s="112" t="s">
        <v>248</v>
      </c>
      <c r="J22" s="112">
        <v>45807</v>
      </c>
      <c r="K22" s="113">
        <v>420000000</v>
      </c>
      <c r="L22" s="114" t="s">
        <v>352</v>
      </c>
      <c r="M22" s="161" t="s">
        <v>546</v>
      </c>
      <c r="N22" s="116" t="s">
        <v>26</v>
      </c>
      <c r="O22" s="116"/>
      <c r="P22" s="116"/>
      <c r="Q22" s="116"/>
      <c r="R22" s="116"/>
      <c r="S22" s="116"/>
      <c r="T22" s="116"/>
      <c r="U22" s="116"/>
      <c r="V22" s="116"/>
      <c r="W22" s="116"/>
      <c r="X22" s="117" t="s">
        <v>547</v>
      </c>
      <c r="Y22" s="163"/>
    </row>
    <row r="23" spans="1:25" ht="27" customHeight="1" x14ac:dyDescent="0.15">
      <c r="A23" s="114">
        <v>2025</v>
      </c>
      <c r="B23" s="108">
        <v>19</v>
      </c>
      <c r="C23" s="114" t="s">
        <v>205</v>
      </c>
      <c r="D23" s="114" t="s">
        <v>64</v>
      </c>
      <c r="E23" s="151" t="s">
        <v>65</v>
      </c>
      <c r="F23" s="151" t="s">
        <v>66</v>
      </c>
      <c r="G23" s="152">
        <v>45809</v>
      </c>
      <c r="H23" s="112">
        <v>46081</v>
      </c>
      <c r="I23" s="112"/>
      <c r="J23" s="112"/>
      <c r="K23" s="113">
        <v>224000000</v>
      </c>
      <c r="L23" s="114" t="s">
        <v>248</v>
      </c>
      <c r="M23" s="153" t="s">
        <v>548</v>
      </c>
      <c r="N23" s="116" t="s">
        <v>26</v>
      </c>
      <c r="O23" s="116"/>
      <c r="P23" s="116"/>
      <c r="Q23" s="116"/>
      <c r="R23" s="116"/>
      <c r="S23" s="116"/>
      <c r="T23" s="116"/>
      <c r="U23" s="116"/>
      <c r="V23" s="116"/>
      <c r="W23" s="116"/>
      <c r="X23" s="117"/>
      <c r="Y23" s="117"/>
    </row>
    <row r="24" spans="1:25" ht="27" customHeight="1" x14ac:dyDescent="0.15">
      <c r="A24" s="114">
        <v>2025</v>
      </c>
      <c r="B24" s="108">
        <v>20</v>
      </c>
      <c r="C24" s="114" t="s">
        <v>208</v>
      </c>
      <c r="D24" s="114" t="s">
        <v>67</v>
      </c>
      <c r="E24" s="151" t="s">
        <v>68</v>
      </c>
      <c r="F24" s="151" t="s">
        <v>69</v>
      </c>
      <c r="G24" s="152">
        <v>45856</v>
      </c>
      <c r="H24" s="112">
        <v>46173</v>
      </c>
      <c r="I24" s="112" t="s">
        <v>248</v>
      </c>
      <c r="J24" s="112">
        <v>45856</v>
      </c>
      <c r="K24" s="113">
        <v>605000000</v>
      </c>
      <c r="L24" s="114" t="s">
        <v>248</v>
      </c>
      <c r="M24" s="153"/>
      <c r="N24" s="116" t="s">
        <v>26</v>
      </c>
      <c r="O24" s="164"/>
      <c r="P24" s="164"/>
      <c r="Q24" s="164"/>
      <c r="R24" s="164"/>
      <c r="S24" s="164"/>
      <c r="T24" s="164"/>
      <c r="U24" s="164"/>
      <c r="V24" s="164"/>
      <c r="W24" s="164"/>
      <c r="X24" s="163"/>
      <c r="Y24" s="117"/>
    </row>
    <row r="25" spans="1:25" ht="27" customHeight="1" x14ac:dyDescent="0.15">
      <c r="A25" s="108">
        <v>2025</v>
      </c>
      <c r="B25" s="108">
        <v>21</v>
      </c>
      <c r="C25" s="108" t="s">
        <v>208</v>
      </c>
      <c r="D25" s="108" t="s">
        <v>70</v>
      </c>
      <c r="E25" s="110" t="s">
        <v>71</v>
      </c>
      <c r="F25" s="110" t="s">
        <v>257</v>
      </c>
      <c r="G25" s="111">
        <v>45888</v>
      </c>
      <c r="H25" s="112">
        <v>46265</v>
      </c>
      <c r="I25" s="112" t="s">
        <v>248</v>
      </c>
      <c r="J25" s="112">
        <v>45841</v>
      </c>
      <c r="K25" s="113">
        <v>878000000</v>
      </c>
      <c r="L25" s="114" t="s">
        <v>248</v>
      </c>
      <c r="M25" s="129"/>
      <c r="N25" s="116" t="s">
        <v>26</v>
      </c>
      <c r="O25" s="116"/>
      <c r="P25" s="116"/>
      <c r="Q25" s="116"/>
      <c r="R25" s="116"/>
      <c r="S25" s="116"/>
      <c r="T25" s="116"/>
      <c r="U25" s="116"/>
      <c r="V25" s="116"/>
      <c r="W25" s="116"/>
      <c r="X25" s="117" t="s">
        <v>549</v>
      </c>
      <c r="Y25" s="155"/>
    </row>
    <row r="26" spans="1:25" ht="27" customHeight="1" x14ac:dyDescent="0.15">
      <c r="A26" s="165">
        <v>2025</v>
      </c>
      <c r="B26" s="166">
        <v>22</v>
      </c>
      <c r="C26" s="165" t="s">
        <v>207</v>
      </c>
      <c r="D26" s="165" t="s">
        <v>72</v>
      </c>
      <c r="E26" s="167" t="s">
        <v>73</v>
      </c>
      <c r="F26" s="167" t="s">
        <v>74</v>
      </c>
      <c r="G26" s="168">
        <v>45838</v>
      </c>
      <c r="H26" s="169">
        <v>45959</v>
      </c>
      <c r="I26" s="112" t="s">
        <v>248</v>
      </c>
      <c r="J26" s="169">
        <v>45838</v>
      </c>
      <c r="K26" s="170">
        <v>23280500</v>
      </c>
      <c r="L26" s="165" t="s">
        <v>248</v>
      </c>
      <c r="M26" s="171"/>
      <c r="N26" s="146">
        <v>45962</v>
      </c>
      <c r="O26" s="146" t="s">
        <v>550</v>
      </c>
      <c r="P26" s="146" t="s">
        <v>75</v>
      </c>
      <c r="Q26" s="146">
        <v>45967</v>
      </c>
      <c r="R26" s="146"/>
      <c r="S26" s="146" t="s">
        <v>364</v>
      </c>
      <c r="T26" s="146" t="s">
        <v>362</v>
      </c>
      <c r="U26" s="146" t="s">
        <v>363</v>
      </c>
      <c r="V26" s="146" t="s">
        <v>363</v>
      </c>
      <c r="W26" s="146" t="s">
        <v>364</v>
      </c>
      <c r="X26" s="132" t="s">
        <v>551</v>
      </c>
      <c r="Y26" s="172"/>
    </row>
    <row r="27" spans="1:25" ht="27" customHeight="1" x14ac:dyDescent="0.15">
      <c r="A27" s="114">
        <v>2025</v>
      </c>
      <c r="B27" s="108">
        <v>23</v>
      </c>
      <c r="C27" s="114" t="s">
        <v>207</v>
      </c>
      <c r="D27" s="114" t="s">
        <v>77</v>
      </c>
      <c r="E27" s="151" t="s">
        <v>552</v>
      </c>
      <c r="F27" s="151" t="s">
        <v>78</v>
      </c>
      <c r="G27" s="152">
        <v>45839</v>
      </c>
      <c r="H27" s="112"/>
      <c r="I27" s="112" t="s">
        <v>352</v>
      </c>
      <c r="J27" s="112">
        <v>45834</v>
      </c>
      <c r="K27" s="120">
        <v>149000000</v>
      </c>
      <c r="L27" s="114" t="s">
        <v>352</v>
      </c>
      <c r="M27" s="153" t="s">
        <v>553</v>
      </c>
      <c r="N27" s="116"/>
      <c r="O27" s="116"/>
      <c r="P27" s="116"/>
      <c r="Q27" s="116"/>
      <c r="R27" s="116"/>
      <c r="S27" s="116"/>
      <c r="T27" s="116"/>
      <c r="U27" s="116"/>
      <c r="V27" s="116"/>
      <c r="W27" s="116"/>
      <c r="X27" s="117"/>
      <c r="Y27" s="172"/>
    </row>
    <row r="28" spans="1:25" ht="27" customHeight="1" x14ac:dyDescent="0.15">
      <c r="A28" s="135">
        <v>2025</v>
      </c>
      <c r="B28" s="135">
        <v>24</v>
      </c>
      <c r="C28" s="135" t="s">
        <v>207</v>
      </c>
      <c r="D28" s="135" t="s">
        <v>79</v>
      </c>
      <c r="E28" s="136" t="s">
        <v>80</v>
      </c>
      <c r="F28" s="136" t="s">
        <v>272</v>
      </c>
      <c r="G28" s="173">
        <v>45845</v>
      </c>
      <c r="H28" s="174">
        <v>45852</v>
      </c>
      <c r="I28" s="138" t="s">
        <v>218</v>
      </c>
      <c r="J28" s="138" t="s">
        <v>218</v>
      </c>
      <c r="K28" s="139">
        <v>756000</v>
      </c>
      <c r="L28" s="135" t="s">
        <v>218</v>
      </c>
      <c r="M28" s="159"/>
      <c r="N28" s="137">
        <v>45862</v>
      </c>
      <c r="O28" s="142" t="s">
        <v>199</v>
      </c>
      <c r="P28" s="142" t="s">
        <v>273</v>
      </c>
      <c r="Q28" s="175">
        <v>45862</v>
      </c>
      <c r="R28" s="175">
        <v>45852</v>
      </c>
      <c r="S28" s="155" t="s">
        <v>272</v>
      </c>
      <c r="T28" s="142" t="s">
        <v>274</v>
      </c>
      <c r="U28" s="155" t="s">
        <v>275</v>
      </c>
      <c r="V28" s="142" t="s">
        <v>276</v>
      </c>
      <c r="W28" s="142" t="s">
        <v>277</v>
      </c>
      <c r="X28" s="155"/>
      <c r="Y28" s="172"/>
    </row>
    <row r="29" spans="1:25" ht="27" customHeight="1" x14ac:dyDescent="0.15">
      <c r="A29" s="140">
        <v>2025</v>
      </c>
      <c r="B29" s="135">
        <v>25</v>
      </c>
      <c r="C29" s="140" t="s">
        <v>278</v>
      </c>
      <c r="D29" s="140" t="s">
        <v>81</v>
      </c>
      <c r="E29" s="176" t="s">
        <v>82</v>
      </c>
      <c r="F29" s="176" t="s">
        <v>83</v>
      </c>
      <c r="G29" s="175">
        <v>45813</v>
      </c>
      <c r="H29" s="174">
        <v>45813</v>
      </c>
      <c r="I29" s="138" t="s">
        <v>218</v>
      </c>
      <c r="J29" s="138" t="s">
        <v>218</v>
      </c>
      <c r="K29" s="139">
        <v>37200</v>
      </c>
      <c r="L29" s="177" t="s">
        <v>218</v>
      </c>
      <c r="M29" s="178"/>
      <c r="N29" s="142">
        <v>45849</v>
      </c>
      <c r="O29" s="142" t="s">
        <v>237</v>
      </c>
      <c r="P29" s="142" t="s">
        <v>273</v>
      </c>
      <c r="Q29" s="175">
        <v>45849</v>
      </c>
      <c r="R29" s="175">
        <v>45841</v>
      </c>
      <c r="S29" s="155" t="s">
        <v>279</v>
      </c>
      <c r="T29" s="142" t="s">
        <v>280</v>
      </c>
      <c r="U29" s="155" t="s">
        <v>281</v>
      </c>
      <c r="V29" s="142" t="s">
        <v>282</v>
      </c>
      <c r="W29" s="142" t="s">
        <v>283</v>
      </c>
      <c r="X29" s="155"/>
      <c r="Y29" s="132"/>
    </row>
    <row r="30" spans="1:25" ht="27" customHeight="1" x14ac:dyDescent="0.15">
      <c r="A30" s="108">
        <v>2025</v>
      </c>
      <c r="B30" s="108">
        <v>26</v>
      </c>
      <c r="C30" s="108" t="s">
        <v>211</v>
      </c>
      <c r="D30" s="108" t="s">
        <v>84</v>
      </c>
      <c r="E30" s="110" t="s">
        <v>85</v>
      </c>
      <c r="F30" s="108" t="s">
        <v>343</v>
      </c>
      <c r="G30" s="111">
        <v>45870</v>
      </c>
      <c r="H30" s="112">
        <v>45747</v>
      </c>
      <c r="I30" s="112" t="s">
        <v>248</v>
      </c>
      <c r="J30" s="112">
        <v>45856</v>
      </c>
      <c r="K30" s="113">
        <v>172727273</v>
      </c>
      <c r="L30" s="114" t="s">
        <v>248</v>
      </c>
      <c r="M30" s="129"/>
      <c r="N30" s="179" t="s">
        <v>26</v>
      </c>
      <c r="O30" s="116"/>
      <c r="P30" s="116"/>
      <c r="Q30" s="116"/>
      <c r="R30" s="116"/>
      <c r="S30" s="116"/>
      <c r="T30" s="116"/>
      <c r="U30" s="116"/>
      <c r="V30" s="116"/>
      <c r="W30" s="116"/>
      <c r="X30" s="117"/>
      <c r="Y30" s="117"/>
    </row>
    <row r="31" spans="1:25" ht="27" customHeight="1" x14ac:dyDescent="0.15">
      <c r="A31" s="135">
        <v>2025</v>
      </c>
      <c r="B31" s="135">
        <v>27</v>
      </c>
      <c r="C31" s="135" t="s">
        <v>211</v>
      </c>
      <c r="D31" s="135" t="s">
        <v>86</v>
      </c>
      <c r="E31" s="136" t="s">
        <v>87</v>
      </c>
      <c r="F31" s="136" t="s">
        <v>88</v>
      </c>
      <c r="G31" s="137">
        <v>45817</v>
      </c>
      <c r="H31" s="138">
        <v>45898</v>
      </c>
      <c r="I31" s="138" t="s">
        <v>248</v>
      </c>
      <c r="J31" s="138">
        <v>45827</v>
      </c>
      <c r="K31" s="139">
        <v>10060000</v>
      </c>
      <c r="L31" s="140" t="s">
        <v>554</v>
      </c>
      <c r="M31" s="159"/>
      <c r="N31" s="180" t="s">
        <v>76</v>
      </c>
      <c r="O31" s="142"/>
      <c r="P31" s="142"/>
      <c r="Q31" s="142"/>
      <c r="R31" s="142"/>
      <c r="S31" s="142"/>
      <c r="T31" s="142"/>
      <c r="U31" s="142"/>
      <c r="V31" s="142"/>
      <c r="W31" s="142"/>
      <c r="X31" s="155"/>
      <c r="Y31" s="132"/>
    </row>
    <row r="32" spans="1:25" ht="27" customHeight="1" x14ac:dyDescent="0.15">
      <c r="A32" s="135">
        <v>2025</v>
      </c>
      <c r="B32" s="135">
        <v>28</v>
      </c>
      <c r="C32" s="135" t="s">
        <v>211</v>
      </c>
      <c r="D32" s="135" t="s">
        <v>89</v>
      </c>
      <c r="E32" s="136" t="s">
        <v>90</v>
      </c>
      <c r="F32" s="136" t="s">
        <v>88</v>
      </c>
      <c r="G32" s="137">
        <v>45833</v>
      </c>
      <c r="H32" s="138">
        <v>45851</v>
      </c>
      <c r="I32" s="138" t="s">
        <v>248</v>
      </c>
      <c r="J32" s="138">
        <v>45831</v>
      </c>
      <c r="K32" s="139">
        <f>1470000+290000</f>
        <v>1760000</v>
      </c>
      <c r="L32" s="140" t="s">
        <v>555</v>
      </c>
      <c r="M32" s="159"/>
      <c r="N32" s="137" t="s">
        <v>556</v>
      </c>
      <c r="O32" s="142"/>
      <c r="P32" s="142"/>
      <c r="Q32" s="142"/>
      <c r="R32" s="142"/>
      <c r="S32" s="142"/>
      <c r="T32" s="142"/>
      <c r="U32" s="142"/>
      <c r="V32" s="142"/>
      <c r="W32" s="142"/>
      <c r="X32" s="155"/>
      <c r="Y32" s="117"/>
    </row>
    <row r="33" spans="1:25" ht="27" customHeight="1" x14ac:dyDescent="0.15">
      <c r="A33" s="114">
        <v>2025</v>
      </c>
      <c r="B33" s="108">
        <v>29</v>
      </c>
      <c r="C33" s="114" t="s">
        <v>212</v>
      </c>
      <c r="D33" s="114" t="s">
        <v>91</v>
      </c>
      <c r="E33" s="151" t="s">
        <v>92</v>
      </c>
      <c r="F33" s="181" t="s">
        <v>530</v>
      </c>
      <c r="G33" s="182">
        <v>45261</v>
      </c>
      <c r="H33" s="182">
        <v>46112</v>
      </c>
      <c r="I33" s="112" t="s">
        <v>248</v>
      </c>
      <c r="J33" s="182">
        <v>45920</v>
      </c>
      <c r="K33" s="113">
        <v>1416121000</v>
      </c>
      <c r="L33" s="114" t="s">
        <v>248</v>
      </c>
      <c r="M33" s="183" t="s">
        <v>93</v>
      </c>
      <c r="N33" s="116"/>
      <c r="O33" s="116"/>
      <c r="P33" s="116"/>
      <c r="Q33" s="116"/>
      <c r="R33" s="116"/>
      <c r="S33" s="116"/>
      <c r="T33" s="116"/>
      <c r="U33" s="116"/>
      <c r="V33" s="116"/>
      <c r="W33" s="116"/>
      <c r="X33" s="117"/>
      <c r="Y33" s="162"/>
    </row>
    <row r="34" spans="1:25" ht="27" customHeight="1" x14ac:dyDescent="0.15">
      <c r="A34" s="135">
        <v>2025</v>
      </c>
      <c r="B34" s="135">
        <v>30</v>
      </c>
      <c r="C34" s="135" t="s">
        <v>162</v>
      </c>
      <c r="D34" s="135" t="s">
        <v>94</v>
      </c>
      <c r="E34" s="136" t="s">
        <v>95</v>
      </c>
      <c r="F34" s="136" t="s">
        <v>96</v>
      </c>
      <c r="G34" s="137">
        <v>45835</v>
      </c>
      <c r="H34" s="138">
        <v>45838</v>
      </c>
      <c r="I34" s="138" t="s">
        <v>218</v>
      </c>
      <c r="J34" s="138" t="s">
        <v>218</v>
      </c>
      <c r="K34" s="139">
        <v>165000</v>
      </c>
      <c r="L34" s="135" t="s">
        <v>218</v>
      </c>
      <c r="M34" s="159"/>
      <c r="N34" s="137">
        <v>45875</v>
      </c>
      <c r="O34" s="142" t="s">
        <v>197</v>
      </c>
      <c r="P34" s="142" t="s">
        <v>340</v>
      </c>
      <c r="Q34" s="142">
        <v>45874</v>
      </c>
      <c r="R34" s="142">
        <v>45838</v>
      </c>
      <c r="S34" s="142" t="s">
        <v>339</v>
      </c>
      <c r="T34" s="142" t="s">
        <v>336</v>
      </c>
      <c r="U34" s="142" t="s">
        <v>341</v>
      </c>
      <c r="V34" s="142" t="s">
        <v>342</v>
      </c>
      <c r="W34" s="142" t="s">
        <v>338</v>
      </c>
      <c r="X34" s="155"/>
      <c r="Y34" s="162"/>
    </row>
    <row r="35" spans="1:25" ht="27" customHeight="1" x14ac:dyDescent="0.15">
      <c r="A35" s="184">
        <v>2025</v>
      </c>
      <c r="B35" s="185">
        <v>31</v>
      </c>
      <c r="C35" s="184" t="s">
        <v>209</v>
      </c>
      <c r="D35" s="184" t="s">
        <v>97</v>
      </c>
      <c r="E35" s="186" t="s">
        <v>98</v>
      </c>
      <c r="F35" s="186" t="s">
        <v>88</v>
      </c>
      <c r="G35" s="187">
        <v>45793</v>
      </c>
      <c r="H35" s="188">
        <v>45898</v>
      </c>
      <c r="I35" s="188" t="s">
        <v>248</v>
      </c>
      <c r="J35" s="188">
        <v>45761</v>
      </c>
      <c r="K35" s="189">
        <v>3450000</v>
      </c>
      <c r="L35" s="184" t="s">
        <v>555</v>
      </c>
      <c r="M35" s="190"/>
      <c r="N35" s="137" t="s">
        <v>556</v>
      </c>
      <c r="O35" s="142"/>
      <c r="P35" s="142"/>
      <c r="Q35" s="142"/>
      <c r="R35" s="142"/>
      <c r="S35" s="142"/>
      <c r="T35" s="142"/>
      <c r="U35" s="142"/>
      <c r="V35" s="142"/>
      <c r="W35" s="142"/>
      <c r="X35" s="155"/>
      <c r="Y35" s="162"/>
    </row>
    <row r="36" spans="1:25" ht="27" customHeight="1" x14ac:dyDescent="0.15">
      <c r="A36" s="140">
        <v>2025</v>
      </c>
      <c r="B36" s="135">
        <v>32</v>
      </c>
      <c r="C36" s="140" t="s">
        <v>210</v>
      </c>
      <c r="D36" s="140" t="s">
        <v>99</v>
      </c>
      <c r="E36" s="176" t="s">
        <v>100</v>
      </c>
      <c r="F36" s="176" t="s">
        <v>88</v>
      </c>
      <c r="G36" s="142">
        <v>45805</v>
      </c>
      <c r="H36" s="138">
        <v>45838</v>
      </c>
      <c r="I36" s="138" t="s">
        <v>248</v>
      </c>
      <c r="J36" s="191">
        <v>45805</v>
      </c>
      <c r="K36" s="139">
        <v>4070000</v>
      </c>
      <c r="L36" s="140" t="s">
        <v>555</v>
      </c>
      <c r="M36" s="178"/>
      <c r="N36" s="142" t="s">
        <v>556</v>
      </c>
      <c r="O36" s="142"/>
      <c r="P36" s="142"/>
      <c r="Q36" s="142"/>
      <c r="R36" s="142"/>
      <c r="S36" s="142"/>
      <c r="T36" s="142"/>
      <c r="U36" s="142"/>
      <c r="V36" s="142"/>
      <c r="W36" s="142"/>
      <c r="X36" s="155"/>
      <c r="Y36" s="162"/>
    </row>
    <row r="37" spans="1:25" ht="27" customHeight="1" x14ac:dyDescent="0.15">
      <c r="A37" s="108">
        <v>2025</v>
      </c>
      <c r="B37" s="108">
        <v>33</v>
      </c>
      <c r="C37" s="108" t="s">
        <v>531</v>
      </c>
      <c r="D37" s="108" t="s">
        <v>101</v>
      </c>
      <c r="E37" s="110" t="s">
        <v>557</v>
      </c>
      <c r="F37" s="110" t="s">
        <v>558</v>
      </c>
      <c r="G37" s="111">
        <v>45800</v>
      </c>
      <c r="H37" s="112">
        <v>46081</v>
      </c>
      <c r="I37" s="112" t="s">
        <v>352</v>
      </c>
      <c r="J37" s="112">
        <v>45799</v>
      </c>
      <c r="K37" s="113">
        <v>1320000</v>
      </c>
      <c r="L37" s="114" t="s">
        <v>559</v>
      </c>
      <c r="M37" s="129" t="s">
        <v>560</v>
      </c>
      <c r="N37" s="115"/>
      <c r="O37" s="116"/>
      <c r="P37" s="116"/>
      <c r="Q37" s="116"/>
      <c r="R37" s="116"/>
      <c r="S37" s="116"/>
      <c r="T37" s="116"/>
      <c r="U37" s="116"/>
      <c r="V37" s="116"/>
      <c r="W37" s="116"/>
      <c r="X37" s="117"/>
      <c r="Y37" s="192"/>
    </row>
    <row r="38" spans="1:25" ht="27" customHeight="1" x14ac:dyDescent="0.15">
      <c r="A38" s="42">
        <v>2025</v>
      </c>
      <c r="B38" s="42">
        <v>34</v>
      </c>
      <c r="C38" s="43" t="s">
        <v>213</v>
      </c>
      <c r="D38" s="43" t="s">
        <v>102</v>
      </c>
      <c r="E38" s="133" t="s">
        <v>103</v>
      </c>
      <c r="F38" s="133" t="s">
        <v>104</v>
      </c>
      <c r="G38" s="115">
        <v>45809</v>
      </c>
      <c r="H38" s="126">
        <v>45869</v>
      </c>
      <c r="I38" s="126"/>
      <c r="J38" s="126"/>
      <c r="K38" s="130">
        <v>450000</v>
      </c>
      <c r="L38" s="193" t="s">
        <v>218</v>
      </c>
      <c r="M38" s="150"/>
      <c r="N38" s="116"/>
      <c r="O38" s="116"/>
      <c r="P38" s="116"/>
      <c r="Q38" s="116"/>
      <c r="R38" s="116"/>
      <c r="S38" s="116"/>
      <c r="T38" s="116"/>
      <c r="U38" s="116"/>
      <c r="V38" s="116"/>
      <c r="W38" s="116"/>
      <c r="X38" s="117"/>
      <c r="Y38" s="117"/>
    </row>
    <row r="39" spans="1:25" ht="27" customHeight="1" x14ac:dyDescent="0.15">
      <c r="A39" s="42">
        <v>2025</v>
      </c>
      <c r="B39" s="42">
        <v>35</v>
      </c>
      <c r="C39" s="43" t="s">
        <v>213</v>
      </c>
      <c r="D39" s="43" t="s">
        <v>105</v>
      </c>
      <c r="E39" s="133" t="s">
        <v>106</v>
      </c>
      <c r="F39" s="133" t="s">
        <v>104</v>
      </c>
      <c r="G39" s="111"/>
      <c r="H39" s="112"/>
      <c r="I39" s="126"/>
      <c r="J39" s="126"/>
      <c r="K39" s="130">
        <v>190000</v>
      </c>
      <c r="L39" s="193" t="s">
        <v>218</v>
      </c>
      <c r="M39" s="150"/>
      <c r="N39" s="116"/>
      <c r="O39" s="116"/>
      <c r="P39" s="116"/>
      <c r="Q39" s="116"/>
      <c r="R39" s="116"/>
      <c r="S39" s="116"/>
      <c r="T39" s="116"/>
      <c r="U39" s="116"/>
      <c r="V39" s="116"/>
      <c r="W39" s="116"/>
      <c r="X39" s="117"/>
      <c r="Y39" s="117"/>
    </row>
    <row r="40" spans="1:25" ht="27" customHeight="1" x14ac:dyDescent="0.15">
      <c r="A40" s="135">
        <v>2025</v>
      </c>
      <c r="B40" s="135">
        <v>36</v>
      </c>
      <c r="C40" s="140" t="s">
        <v>214</v>
      </c>
      <c r="D40" s="140" t="s">
        <v>107</v>
      </c>
      <c r="E40" s="176" t="s">
        <v>108</v>
      </c>
      <c r="F40" s="176" t="s">
        <v>109</v>
      </c>
      <c r="G40" s="142">
        <v>45838</v>
      </c>
      <c r="H40" s="138">
        <v>45838</v>
      </c>
      <c r="I40" s="138"/>
      <c r="J40" s="138"/>
      <c r="K40" s="139">
        <v>8000</v>
      </c>
      <c r="L40" s="177" t="s">
        <v>218</v>
      </c>
      <c r="M40" s="178"/>
      <c r="N40" s="142">
        <v>45853</v>
      </c>
      <c r="O40" s="142" t="s">
        <v>197</v>
      </c>
      <c r="P40" s="142" t="s">
        <v>75</v>
      </c>
      <c r="Q40" s="142">
        <v>45846</v>
      </c>
      <c r="R40" s="142">
        <v>45838</v>
      </c>
      <c r="S40" s="142" t="s">
        <v>284</v>
      </c>
      <c r="T40" s="142" t="s">
        <v>285</v>
      </c>
      <c r="U40" s="142" t="s">
        <v>286</v>
      </c>
      <c r="V40" s="142" t="s">
        <v>109</v>
      </c>
      <c r="W40" s="142" t="s">
        <v>287</v>
      </c>
      <c r="X40" s="155"/>
      <c r="Y40" s="155"/>
    </row>
    <row r="41" spans="1:25" ht="27" customHeight="1" x14ac:dyDescent="0.15">
      <c r="A41" s="135">
        <v>2025</v>
      </c>
      <c r="B41" s="135">
        <v>37</v>
      </c>
      <c r="C41" s="140" t="s">
        <v>214</v>
      </c>
      <c r="D41" s="140" t="s">
        <v>110</v>
      </c>
      <c r="E41" s="176" t="s">
        <v>288</v>
      </c>
      <c r="F41" s="176" t="s">
        <v>289</v>
      </c>
      <c r="G41" s="142">
        <v>45834</v>
      </c>
      <c r="H41" s="138">
        <v>45834</v>
      </c>
      <c r="I41" s="138"/>
      <c r="J41" s="138"/>
      <c r="K41" s="139">
        <v>15000</v>
      </c>
      <c r="L41" s="177" t="s">
        <v>218</v>
      </c>
      <c r="M41" s="178"/>
      <c r="N41" s="142">
        <v>45853</v>
      </c>
      <c r="O41" s="142" t="s">
        <v>197</v>
      </c>
      <c r="P41" s="142" t="s">
        <v>75</v>
      </c>
      <c r="Q41" s="142">
        <v>45846</v>
      </c>
      <c r="R41" s="142">
        <v>45834</v>
      </c>
      <c r="S41" s="142" t="s">
        <v>290</v>
      </c>
      <c r="T41" s="142" t="s">
        <v>291</v>
      </c>
      <c r="U41" s="142" t="s">
        <v>292</v>
      </c>
      <c r="V41" s="142" t="s">
        <v>293</v>
      </c>
      <c r="W41" s="142" t="s">
        <v>294</v>
      </c>
      <c r="X41" s="155"/>
      <c r="Y41" s="143"/>
    </row>
    <row r="42" spans="1:25" ht="27" customHeight="1" x14ac:dyDescent="0.15">
      <c r="A42" s="135">
        <v>2025</v>
      </c>
      <c r="B42" s="135">
        <v>38</v>
      </c>
      <c r="C42" s="140" t="s">
        <v>215</v>
      </c>
      <c r="D42" s="140" t="s">
        <v>216</v>
      </c>
      <c r="E42" s="176" t="s">
        <v>295</v>
      </c>
      <c r="F42" s="176" t="s">
        <v>217</v>
      </c>
      <c r="G42" s="175">
        <v>45836</v>
      </c>
      <c r="H42" s="138">
        <v>45838</v>
      </c>
      <c r="I42" s="138" t="s">
        <v>218</v>
      </c>
      <c r="J42" s="138"/>
      <c r="K42" s="139">
        <v>55000</v>
      </c>
      <c r="L42" s="177" t="s">
        <v>218</v>
      </c>
      <c r="M42" s="178"/>
      <c r="N42" s="142">
        <v>45853</v>
      </c>
      <c r="O42" s="142" t="s">
        <v>197</v>
      </c>
      <c r="P42" s="142" t="s">
        <v>75</v>
      </c>
      <c r="Q42" s="142">
        <v>45846</v>
      </c>
      <c r="R42" s="142">
        <v>45838</v>
      </c>
      <c r="S42" s="142" t="s">
        <v>296</v>
      </c>
      <c r="T42" s="142" t="s">
        <v>297</v>
      </c>
      <c r="U42" s="142" t="s">
        <v>298</v>
      </c>
      <c r="V42" s="142" t="s">
        <v>299</v>
      </c>
      <c r="W42" s="142" t="s">
        <v>300</v>
      </c>
      <c r="X42" s="155"/>
      <c r="Y42" s="155"/>
    </row>
    <row r="43" spans="1:25" ht="27" customHeight="1" x14ac:dyDescent="0.15">
      <c r="A43" s="135">
        <v>2025</v>
      </c>
      <c r="B43" s="135">
        <v>39</v>
      </c>
      <c r="C43" s="140" t="s">
        <v>211</v>
      </c>
      <c r="D43" s="140" t="s">
        <v>220</v>
      </c>
      <c r="E43" s="176" t="s">
        <v>221</v>
      </c>
      <c r="F43" s="176" t="s">
        <v>222</v>
      </c>
      <c r="G43" s="175">
        <v>45811</v>
      </c>
      <c r="H43" s="174">
        <v>45811</v>
      </c>
      <c r="I43" s="138" t="s">
        <v>218</v>
      </c>
      <c r="J43" s="138"/>
      <c r="K43" s="139">
        <v>76000</v>
      </c>
      <c r="L43" s="177" t="s">
        <v>218</v>
      </c>
      <c r="M43" s="178"/>
      <c r="N43" s="142">
        <v>45846</v>
      </c>
      <c r="O43" s="142" t="s">
        <v>197</v>
      </c>
      <c r="P43" s="142" t="s">
        <v>200</v>
      </c>
      <c r="Q43" s="175">
        <v>45846</v>
      </c>
      <c r="R43" s="175">
        <v>45811</v>
      </c>
      <c r="S43" s="142" t="s">
        <v>232</v>
      </c>
      <c r="T43" s="142" t="s">
        <v>233</v>
      </c>
      <c r="U43" s="142" t="s">
        <v>234</v>
      </c>
      <c r="V43" s="142" t="s">
        <v>235</v>
      </c>
      <c r="W43" s="142" t="s">
        <v>232</v>
      </c>
      <c r="X43" s="155"/>
      <c r="Y43" s="172"/>
    </row>
    <row r="44" spans="1:25" ht="27" customHeight="1" x14ac:dyDescent="0.15">
      <c r="A44" s="135">
        <v>2025</v>
      </c>
      <c r="B44" s="135">
        <v>40</v>
      </c>
      <c r="C44" s="140" t="s">
        <v>211</v>
      </c>
      <c r="D44" s="140" t="s">
        <v>223</v>
      </c>
      <c r="E44" s="176" t="s">
        <v>224</v>
      </c>
      <c r="F44" s="176" t="s">
        <v>225</v>
      </c>
      <c r="G44" s="175">
        <v>45831</v>
      </c>
      <c r="H44" s="174">
        <v>45831</v>
      </c>
      <c r="I44" s="138" t="s">
        <v>218</v>
      </c>
      <c r="J44" s="138"/>
      <c r="K44" s="139">
        <v>50000</v>
      </c>
      <c r="L44" s="177" t="s">
        <v>218</v>
      </c>
      <c r="M44" s="178"/>
      <c r="N44" s="142">
        <v>45846</v>
      </c>
      <c r="O44" s="142" t="s">
        <v>237</v>
      </c>
      <c r="P44" s="142" t="s">
        <v>238</v>
      </c>
      <c r="Q44" s="175">
        <v>45846</v>
      </c>
      <c r="R44" s="175">
        <v>45831</v>
      </c>
      <c r="S44" s="142" t="s">
        <v>236</v>
      </c>
      <c r="T44" s="142" t="s">
        <v>239</v>
      </c>
      <c r="U44" s="142" t="s">
        <v>240</v>
      </c>
      <c r="V44" s="142" t="s">
        <v>241</v>
      </c>
      <c r="W44" s="142" t="s">
        <v>236</v>
      </c>
      <c r="X44" s="155"/>
      <c r="Y44" s="132"/>
    </row>
    <row r="45" spans="1:25" ht="27" customHeight="1" x14ac:dyDescent="0.15">
      <c r="A45" s="135">
        <v>2025</v>
      </c>
      <c r="B45" s="135">
        <v>41</v>
      </c>
      <c r="C45" s="140" t="s">
        <v>211</v>
      </c>
      <c r="D45" s="140" t="s">
        <v>226</v>
      </c>
      <c r="E45" s="176" t="s">
        <v>227</v>
      </c>
      <c r="F45" s="176" t="s">
        <v>228</v>
      </c>
      <c r="G45" s="175">
        <v>45821</v>
      </c>
      <c r="H45" s="174">
        <v>45821</v>
      </c>
      <c r="I45" s="138"/>
      <c r="J45" s="138"/>
      <c r="K45" s="139">
        <v>40000</v>
      </c>
      <c r="L45" s="177" t="s">
        <v>218</v>
      </c>
      <c r="M45" s="178"/>
      <c r="N45" s="142">
        <v>45846</v>
      </c>
      <c r="O45" s="142" t="s">
        <v>237</v>
      </c>
      <c r="P45" s="142" t="s">
        <v>238</v>
      </c>
      <c r="Q45" s="175">
        <v>45846</v>
      </c>
      <c r="R45" s="175">
        <v>45821</v>
      </c>
      <c r="S45" s="142" t="s">
        <v>243</v>
      </c>
      <c r="T45" s="142" t="s">
        <v>239</v>
      </c>
      <c r="U45" s="142" t="s">
        <v>240</v>
      </c>
      <c r="V45" s="142" t="s">
        <v>241</v>
      </c>
      <c r="W45" s="142" t="s">
        <v>244</v>
      </c>
      <c r="X45" s="155"/>
      <c r="Y45" s="117"/>
    </row>
    <row r="46" spans="1:25" ht="27" customHeight="1" x14ac:dyDescent="0.15">
      <c r="A46" s="135">
        <v>2025</v>
      </c>
      <c r="B46" s="135">
        <v>42</v>
      </c>
      <c r="C46" s="140" t="s">
        <v>211</v>
      </c>
      <c r="D46" s="140" t="s">
        <v>229</v>
      </c>
      <c r="E46" s="176" t="s">
        <v>230</v>
      </c>
      <c r="F46" s="176" t="s">
        <v>231</v>
      </c>
      <c r="G46" s="175">
        <v>45821</v>
      </c>
      <c r="H46" s="174">
        <v>45821</v>
      </c>
      <c r="I46" s="138"/>
      <c r="J46" s="138"/>
      <c r="K46" s="139">
        <v>15000</v>
      </c>
      <c r="L46" s="177" t="s">
        <v>218</v>
      </c>
      <c r="M46" s="178"/>
      <c r="N46" s="142">
        <v>45846</v>
      </c>
      <c r="O46" s="142" t="s">
        <v>197</v>
      </c>
      <c r="P46" s="142" t="s">
        <v>200</v>
      </c>
      <c r="Q46" s="175">
        <v>45846</v>
      </c>
      <c r="R46" s="175">
        <v>45821</v>
      </c>
      <c r="S46" s="142" t="s">
        <v>245</v>
      </c>
      <c r="T46" s="142" t="s">
        <v>233</v>
      </c>
      <c r="U46" s="142" t="s">
        <v>234</v>
      </c>
      <c r="V46" s="142" t="s">
        <v>235</v>
      </c>
      <c r="W46" s="142" t="s">
        <v>246</v>
      </c>
      <c r="X46" s="155"/>
      <c r="Y46" s="172"/>
    </row>
    <row r="47" spans="1:25" ht="27" customHeight="1" x14ac:dyDescent="0.15">
      <c r="A47" s="185">
        <v>2025</v>
      </c>
      <c r="B47" s="185">
        <v>43</v>
      </c>
      <c r="C47" s="184" t="s">
        <v>331</v>
      </c>
      <c r="D47" s="184" t="s">
        <v>561</v>
      </c>
      <c r="E47" s="186" t="s">
        <v>334</v>
      </c>
      <c r="F47" s="186" t="s">
        <v>247</v>
      </c>
      <c r="G47" s="187">
        <v>45839</v>
      </c>
      <c r="H47" s="188">
        <v>45981</v>
      </c>
      <c r="I47" s="188" t="s">
        <v>248</v>
      </c>
      <c r="J47" s="188">
        <v>45811</v>
      </c>
      <c r="K47" s="189">
        <v>23670000</v>
      </c>
      <c r="L47" s="184" t="s">
        <v>248</v>
      </c>
      <c r="M47" s="190"/>
      <c r="N47" s="142">
        <v>45905</v>
      </c>
      <c r="O47" s="142" t="s">
        <v>333</v>
      </c>
      <c r="P47" s="142" t="s">
        <v>75</v>
      </c>
      <c r="Q47" s="142">
        <v>45905</v>
      </c>
      <c r="R47" s="142">
        <v>45864</v>
      </c>
      <c r="S47" s="142" t="s">
        <v>332</v>
      </c>
      <c r="T47" s="142" t="s">
        <v>327</v>
      </c>
      <c r="U47" s="142" t="s">
        <v>328</v>
      </c>
      <c r="V47" s="142" t="s">
        <v>329</v>
      </c>
      <c r="W47" s="142" t="s">
        <v>330</v>
      </c>
      <c r="X47" s="143" t="s">
        <v>562</v>
      </c>
      <c r="Y47" s="132"/>
    </row>
    <row r="48" spans="1:25" ht="27" customHeight="1" x14ac:dyDescent="0.15">
      <c r="A48" s="135">
        <v>2025</v>
      </c>
      <c r="B48" s="135">
        <v>44</v>
      </c>
      <c r="C48" s="140" t="s">
        <v>249</v>
      </c>
      <c r="D48" s="140" t="s">
        <v>250</v>
      </c>
      <c r="E48" s="176" t="s">
        <v>251</v>
      </c>
      <c r="F48" s="176" t="s">
        <v>252</v>
      </c>
      <c r="G48" s="142">
        <v>45842</v>
      </c>
      <c r="H48" s="142">
        <v>45842</v>
      </c>
      <c r="I48" s="138" t="s">
        <v>218</v>
      </c>
      <c r="J48" s="138"/>
      <c r="K48" s="139">
        <v>260000</v>
      </c>
      <c r="L48" s="177" t="s">
        <v>218</v>
      </c>
      <c r="M48" s="178"/>
      <c r="N48" s="142">
        <v>45846</v>
      </c>
      <c r="O48" s="142" t="s">
        <v>197</v>
      </c>
      <c r="P48" s="142" t="s">
        <v>75</v>
      </c>
      <c r="Q48" s="175">
        <v>45846</v>
      </c>
      <c r="R48" s="142">
        <v>45846</v>
      </c>
      <c r="S48" s="142" t="s">
        <v>258</v>
      </c>
      <c r="T48" s="142" t="s">
        <v>259</v>
      </c>
      <c r="U48" s="194" t="s">
        <v>261</v>
      </c>
      <c r="V48" s="142" t="s">
        <v>260</v>
      </c>
      <c r="W48" s="142" t="s">
        <v>258</v>
      </c>
      <c r="X48" s="155"/>
      <c r="Y48" s="172"/>
    </row>
    <row r="49" spans="1:25" ht="27" customHeight="1" x14ac:dyDescent="0.15">
      <c r="A49" s="42">
        <v>2025</v>
      </c>
      <c r="B49" s="42">
        <v>45</v>
      </c>
      <c r="C49" s="43" t="s">
        <v>219</v>
      </c>
      <c r="D49" s="43" t="s">
        <v>301</v>
      </c>
      <c r="E49" s="133" t="s">
        <v>309</v>
      </c>
      <c r="F49" s="133" t="s">
        <v>302</v>
      </c>
      <c r="G49" s="126" t="s">
        <v>218</v>
      </c>
      <c r="H49" s="126" t="s">
        <v>218</v>
      </c>
      <c r="I49" s="126" t="s">
        <v>218</v>
      </c>
      <c r="J49" s="126" t="s">
        <v>218</v>
      </c>
      <c r="K49" s="126" t="s">
        <v>218</v>
      </c>
      <c r="L49" s="43" t="s">
        <v>248</v>
      </c>
      <c r="M49" s="150"/>
      <c r="N49" s="116"/>
      <c r="O49" s="116"/>
      <c r="P49" s="116"/>
      <c r="Q49" s="195"/>
      <c r="R49" s="116"/>
      <c r="S49" s="116"/>
      <c r="T49" s="116"/>
      <c r="U49" s="196"/>
      <c r="V49" s="116"/>
      <c r="W49" s="116"/>
      <c r="X49" s="117"/>
      <c r="Y49" s="117"/>
    </row>
    <row r="50" spans="1:25" ht="27" customHeight="1" x14ac:dyDescent="0.15">
      <c r="A50" s="108">
        <v>2025</v>
      </c>
      <c r="B50" s="108">
        <v>46</v>
      </c>
      <c r="C50" s="114" t="s">
        <v>219</v>
      </c>
      <c r="D50" s="114" t="s">
        <v>563</v>
      </c>
      <c r="E50" s="151" t="s">
        <v>254</v>
      </c>
      <c r="F50" s="151" t="s">
        <v>255</v>
      </c>
      <c r="G50" s="152">
        <v>45852</v>
      </c>
      <c r="H50" s="112">
        <v>45976</v>
      </c>
      <c r="I50" s="112" t="s">
        <v>248</v>
      </c>
      <c r="J50" s="112">
        <v>45848</v>
      </c>
      <c r="K50" s="113">
        <v>25250000</v>
      </c>
      <c r="L50" s="114" t="s">
        <v>248</v>
      </c>
      <c r="M50" s="153"/>
      <c r="N50" s="116"/>
      <c r="O50" s="116"/>
      <c r="P50" s="116"/>
      <c r="Q50" s="116"/>
      <c r="R50" s="116"/>
      <c r="S50" s="116"/>
      <c r="T50" s="116"/>
      <c r="U50" s="116"/>
      <c r="V50" s="116"/>
      <c r="W50" s="116"/>
      <c r="X50" s="117"/>
      <c r="Y50" s="155"/>
    </row>
    <row r="51" spans="1:25" ht="27" customHeight="1" x14ac:dyDescent="0.15">
      <c r="A51" s="108">
        <v>2025</v>
      </c>
      <c r="B51" s="108">
        <v>47</v>
      </c>
      <c r="C51" s="114" t="s">
        <v>219</v>
      </c>
      <c r="D51" s="114" t="s">
        <v>564</v>
      </c>
      <c r="E51" s="151" t="s">
        <v>565</v>
      </c>
      <c r="F51" s="151" t="s">
        <v>256</v>
      </c>
      <c r="G51" s="152">
        <v>45848</v>
      </c>
      <c r="H51" s="112">
        <v>46031</v>
      </c>
      <c r="I51" s="112" t="s">
        <v>248</v>
      </c>
      <c r="J51" s="112">
        <v>45840</v>
      </c>
      <c r="K51" s="113">
        <v>7980000</v>
      </c>
      <c r="L51" s="114" t="s">
        <v>248</v>
      </c>
      <c r="M51" s="153"/>
      <c r="N51" s="116"/>
      <c r="O51" s="116"/>
      <c r="P51" s="116"/>
      <c r="Q51" s="116"/>
      <c r="R51" s="116"/>
      <c r="S51" s="116"/>
      <c r="T51" s="116"/>
      <c r="U51" s="116"/>
      <c r="V51" s="116"/>
      <c r="W51" s="116"/>
      <c r="X51" s="117"/>
      <c r="Y51" s="155"/>
    </row>
    <row r="52" spans="1:25" ht="27" customHeight="1" x14ac:dyDescent="0.15">
      <c r="A52" s="144">
        <v>2025</v>
      </c>
      <c r="B52" s="144">
        <v>48</v>
      </c>
      <c r="C52" s="44" t="s">
        <v>566</v>
      </c>
      <c r="D52" s="44" t="s">
        <v>303</v>
      </c>
      <c r="E52" s="145" t="s">
        <v>567</v>
      </c>
      <c r="F52" s="145" t="s">
        <v>568</v>
      </c>
      <c r="G52" s="146">
        <v>45878</v>
      </c>
      <c r="H52" s="147">
        <v>45880</v>
      </c>
      <c r="I52" s="147" t="s">
        <v>352</v>
      </c>
      <c r="J52" s="147">
        <v>45861</v>
      </c>
      <c r="K52" s="148">
        <v>490000</v>
      </c>
      <c r="L52" s="197" t="s">
        <v>253</v>
      </c>
      <c r="M52" s="198" t="s">
        <v>569</v>
      </c>
      <c r="N52" s="146">
        <v>45908</v>
      </c>
      <c r="O52" s="146" t="s">
        <v>197</v>
      </c>
      <c r="P52" s="146"/>
      <c r="Q52" s="146"/>
      <c r="R52" s="146">
        <v>45887</v>
      </c>
      <c r="S52" s="146" t="s">
        <v>570</v>
      </c>
      <c r="T52" s="146" t="s">
        <v>336</v>
      </c>
      <c r="U52" s="146" t="s">
        <v>571</v>
      </c>
      <c r="V52" s="146" t="s">
        <v>337</v>
      </c>
      <c r="W52" s="146" t="s">
        <v>338</v>
      </c>
      <c r="X52" s="172"/>
      <c r="Y52" s="162"/>
    </row>
    <row r="53" spans="1:25" ht="27" customHeight="1" x14ac:dyDescent="0.15">
      <c r="A53" s="108">
        <v>2025</v>
      </c>
      <c r="B53" s="108">
        <v>49</v>
      </c>
      <c r="C53" s="114" t="s">
        <v>572</v>
      </c>
      <c r="D53" s="114" t="s">
        <v>305</v>
      </c>
      <c r="E53" s="151" t="s">
        <v>370</v>
      </c>
      <c r="F53" s="151" t="s">
        <v>306</v>
      </c>
      <c r="G53" s="152">
        <v>45888</v>
      </c>
      <c r="H53" s="112">
        <v>45976</v>
      </c>
      <c r="I53" s="112" t="s">
        <v>248</v>
      </c>
      <c r="J53" s="112">
        <v>45877</v>
      </c>
      <c r="K53" s="113">
        <v>18900000</v>
      </c>
      <c r="L53" s="114" t="s">
        <v>248</v>
      </c>
      <c r="M53" s="153"/>
      <c r="N53" s="116"/>
      <c r="O53" s="116"/>
      <c r="P53" s="116"/>
      <c r="Q53" s="116"/>
      <c r="R53" s="116"/>
      <c r="S53" s="116"/>
      <c r="T53" s="116"/>
      <c r="U53" s="116"/>
      <c r="V53" s="116"/>
      <c r="W53" s="116"/>
      <c r="X53" s="117"/>
      <c r="Y53" s="192"/>
    </row>
    <row r="54" spans="1:25" ht="27" customHeight="1" x14ac:dyDescent="0.15">
      <c r="A54" s="108">
        <v>2025</v>
      </c>
      <c r="B54" s="108">
        <v>50</v>
      </c>
      <c r="C54" s="114" t="s">
        <v>307</v>
      </c>
      <c r="D54" s="114" t="s">
        <v>573</v>
      </c>
      <c r="E54" s="151" t="s">
        <v>574</v>
      </c>
      <c r="F54" s="151" t="s">
        <v>308</v>
      </c>
      <c r="G54" s="112" t="s">
        <v>218</v>
      </c>
      <c r="H54" s="112" t="s">
        <v>218</v>
      </c>
      <c r="I54" s="112" t="s">
        <v>218</v>
      </c>
      <c r="J54" s="112" t="s">
        <v>218</v>
      </c>
      <c r="K54" s="113">
        <v>17939200</v>
      </c>
      <c r="L54" s="114" t="s">
        <v>248</v>
      </c>
      <c r="M54" s="153"/>
      <c r="N54" s="116"/>
      <c r="O54" s="116"/>
      <c r="P54" s="116"/>
      <c r="Q54" s="116"/>
      <c r="R54" s="116"/>
      <c r="S54" s="116"/>
      <c r="T54" s="116"/>
      <c r="U54" s="116"/>
      <c r="V54" s="116"/>
      <c r="W54" s="116"/>
      <c r="X54" s="117"/>
      <c r="Y54" s="162"/>
    </row>
    <row r="55" spans="1:25" ht="27" customHeight="1" x14ac:dyDescent="0.15">
      <c r="A55" s="140">
        <v>2025</v>
      </c>
      <c r="B55" s="140">
        <v>51</v>
      </c>
      <c r="C55" s="140" t="s">
        <v>314</v>
      </c>
      <c r="D55" s="140" t="s">
        <v>313</v>
      </c>
      <c r="E55" s="176" t="s">
        <v>315</v>
      </c>
      <c r="F55" s="176" t="s">
        <v>316</v>
      </c>
      <c r="G55" s="142">
        <v>45873</v>
      </c>
      <c r="H55" s="138">
        <v>45873</v>
      </c>
      <c r="I55" s="138" t="s">
        <v>253</v>
      </c>
      <c r="J55" s="138"/>
      <c r="K55" s="139">
        <v>200000</v>
      </c>
      <c r="L55" s="177" t="s">
        <v>218</v>
      </c>
      <c r="M55" s="178"/>
      <c r="N55" s="142">
        <v>45874</v>
      </c>
      <c r="O55" s="142" t="s">
        <v>237</v>
      </c>
      <c r="P55" s="142" t="s">
        <v>321</v>
      </c>
      <c r="Q55" s="142">
        <v>45874</v>
      </c>
      <c r="R55" s="142">
        <v>45873</v>
      </c>
      <c r="S55" s="142" t="s">
        <v>316</v>
      </c>
      <c r="T55" s="142" t="s">
        <v>318</v>
      </c>
      <c r="U55" s="142" t="s">
        <v>319</v>
      </c>
      <c r="V55" s="142" t="s">
        <v>322</v>
      </c>
      <c r="W55" s="142" t="s">
        <v>320</v>
      </c>
      <c r="X55" s="155"/>
      <c r="Y55" s="117"/>
    </row>
    <row r="56" spans="1:25" ht="27" customHeight="1" x14ac:dyDescent="0.15">
      <c r="A56" s="114">
        <v>2025</v>
      </c>
      <c r="B56" s="114">
        <v>52</v>
      </c>
      <c r="C56" s="114" t="s">
        <v>331</v>
      </c>
      <c r="D56" s="114" t="s">
        <v>344</v>
      </c>
      <c r="E56" s="151" t="s">
        <v>368</v>
      </c>
      <c r="F56" s="151" t="s">
        <v>369</v>
      </c>
      <c r="G56" s="152">
        <v>45863</v>
      </c>
      <c r="H56" s="112">
        <v>46065</v>
      </c>
      <c r="I56" s="112" t="s">
        <v>248</v>
      </c>
      <c r="J56" s="112">
        <v>45862</v>
      </c>
      <c r="K56" s="113">
        <v>7650000</v>
      </c>
      <c r="L56" s="114" t="s">
        <v>248</v>
      </c>
      <c r="M56" s="153"/>
      <c r="N56" s="116"/>
      <c r="O56" s="116"/>
      <c r="P56" s="116"/>
      <c r="Q56" s="116"/>
      <c r="R56" s="116"/>
      <c r="S56" s="116"/>
      <c r="T56" s="116"/>
      <c r="U56" s="116"/>
      <c r="V56" s="116"/>
      <c r="W56" s="116"/>
      <c r="X56" s="117"/>
      <c r="Y56" s="117"/>
    </row>
    <row r="57" spans="1:25" ht="27" customHeight="1" x14ac:dyDescent="0.15">
      <c r="A57" s="114">
        <v>2025</v>
      </c>
      <c r="B57" s="114">
        <v>55</v>
      </c>
      <c r="C57" s="114" t="s">
        <v>211</v>
      </c>
      <c r="D57" s="114" t="s">
        <v>345</v>
      </c>
      <c r="E57" s="151" t="s">
        <v>359</v>
      </c>
      <c r="F57" s="151" t="s">
        <v>360</v>
      </c>
      <c r="G57" s="152">
        <v>45887</v>
      </c>
      <c r="H57" s="112">
        <v>46112</v>
      </c>
      <c r="I57" s="112" t="s">
        <v>352</v>
      </c>
      <c r="J57" s="112">
        <v>45876</v>
      </c>
      <c r="K57" s="113">
        <v>189000000</v>
      </c>
      <c r="L57" s="114" t="s">
        <v>555</v>
      </c>
      <c r="M57" s="153"/>
      <c r="N57" s="116"/>
      <c r="O57" s="116"/>
      <c r="P57" s="116"/>
      <c r="Q57" s="116"/>
      <c r="R57" s="116"/>
      <c r="S57" s="116"/>
      <c r="T57" s="116"/>
      <c r="U57" s="116"/>
      <c r="V57" s="116"/>
      <c r="W57" s="116"/>
      <c r="X57" s="117"/>
      <c r="Y57" s="172"/>
    </row>
    <row r="58" spans="1:25" ht="27" customHeight="1" x14ac:dyDescent="0.15">
      <c r="A58" s="140">
        <v>2025</v>
      </c>
      <c r="B58" s="140">
        <v>56</v>
      </c>
      <c r="C58" s="140" t="s">
        <v>209</v>
      </c>
      <c r="D58" s="140" t="s">
        <v>346</v>
      </c>
      <c r="E58" s="176" t="s">
        <v>575</v>
      </c>
      <c r="F58" s="176" t="s">
        <v>347</v>
      </c>
      <c r="G58" s="142">
        <v>45833</v>
      </c>
      <c r="H58" s="138">
        <v>45846</v>
      </c>
      <c r="I58" s="138" t="s">
        <v>248</v>
      </c>
      <c r="J58" s="138">
        <v>45832</v>
      </c>
      <c r="K58" s="139">
        <v>220000</v>
      </c>
      <c r="L58" s="140" t="s">
        <v>555</v>
      </c>
      <c r="M58" s="199" t="s">
        <v>348</v>
      </c>
      <c r="N58" s="142" t="s">
        <v>556</v>
      </c>
      <c r="O58" s="142"/>
      <c r="P58" s="142"/>
      <c r="Q58" s="142"/>
      <c r="R58" s="142"/>
      <c r="S58" s="142"/>
      <c r="T58" s="142"/>
      <c r="U58" s="142"/>
      <c r="V58" s="142"/>
      <c r="W58" s="142"/>
      <c r="X58" s="155"/>
      <c r="Y58" s="172"/>
    </row>
    <row r="59" spans="1:25" ht="27" customHeight="1" x14ac:dyDescent="0.15">
      <c r="A59" s="140">
        <v>2025</v>
      </c>
      <c r="B59" s="140">
        <v>57</v>
      </c>
      <c r="C59" s="140" t="s">
        <v>211</v>
      </c>
      <c r="D59" s="140" t="s">
        <v>349</v>
      </c>
      <c r="E59" s="176" t="s">
        <v>350</v>
      </c>
      <c r="F59" s="176" t="s">
        <v>351</v>
      </c>
      <c r="G59" s="142">
        <v>45809</v>
      </c>
      <c r="H59" s="138">
        <v>45869</v>
      </c>
      <c r="I59" s="138" t="s">
        <v>352</v>
      </c>
      <c r="J59" s="138"/>
      <c r="K59" s="139">
        <v>100000</v>
      </c>
      <c r="L59" s="177" t="s">
        <v>218</v>
      </c>
      <c r="M59" s="199" t="s">
        <v>353</v>
      </c>
      <c r="N59" s="142">
        <v>45878</v>
      </c>
      <c r="O59" s="142" t="s">
        <v>197</v>
      </c>
      <c r="P59" s="142" t="s">
        <v>75</v>
      </c>
      <c r="Q59" s="142">
        <v>45887</v>
      </c>
      <c r="R59" s="142">
        <v>45869</v>
      </c>
      <c r="S59" s="142" t="s">
        <v>354</v>
      </c>
      <c r="T59" s="142" t="s">
        <v>355</v>
      </c>
      <c r="U59" s="142" t="s">
        <v>356</v>
      </c>
      <c r="V59" s="142" t="s">
        <v>357</v>
      </c>
      <c r="W59" s="142" t="s">
        <v>354</v>
      </c>
      <c r="X59" s="155"/>
      <c r="Y59" s="117"/>
    </row>
    <row r="60" spans="1:25" ht="27" customHeight="1" x14ac:dyDescent="0.15">
      <c r="A60" s="140">
        <v>2025</v>
      </c>
      <c r="B60" s="140">
        <v>61</v>
      </c>
      <c r="C60" s="140" t="s">
        <v>375</v>
      </c>
      <c r="D60" s="140" t="s">
        <v>371</v>
      </c>
      <c r="E60" s="176" t="s">
        <v>372</v>
      </c>
      <c r="F60" s="176" t="s">
        <v>373</v>
      </c>
      <c r="G60" s="142">
        <v>45875</v>
      </c>
      <c r="H60" s="138">
        <v>45875</v>
      </c>
      <c r="I60" s="138" t="s">
        <v>218</v>
      </c>
      <c r="J60" s="138">
        <v>45868</v>
      </c>
      <c r="K60" s="139">
        <v>50000</v>
      </c>
      <c r="L60" s="177" t="s">
        <v>218</v>
      </c>
      <c r="M60" s="178"/>
      <c r="N60" s="142">
        <v>45896</v>
      </c>
      <c r="O60" s="142" t="s">
        <v>237</v>
      </c>
      <c r="P60" s="142"/>
      <c r="Q60" s="142">
        <v>45891</v>
      </c>
      <c r="R60" s="142">
        <v>45875</v>
      </c>
      <c r="S60" s="142" t="s">
        <v>576</v>
      </c>
      <c r="T60" s="142" t="s">
        <v>361</v>
      </c>
      <c r="U60" s="142" t="s">
        <v>577</v>
      </c>
      <c r="V60" s="142" t="s">
        <v>578</v>
      </c>
      <c r="W60" s="142" t="s">
        <v>579</v>
      </c>
      <c r="X60" s="155"/>
      <c r="Y60" s="172"/>
    </row>
    <row r="61" spans="1:25" ht="27" customHeight="1" x14ac:dyDescent="0.15">
      <c r="A61" s="140">
        <v>2025</v>
      </c>
      <c r="B61" s="140">
        <v>62</v>
      </c>
      <c r="C61" s="140" t="s">
        <v>375</v>
      </c>
      <c r="D61" s="140" t="s">
        <v>376</v>
      </c>
      <c r="E61" s="176" t="s">
        <v>377</v>
      </c>
      <c r="F61" s="176" t="s">
        <v>580</v>
      </c>
      <c r="G61" s="142">
        <v>45891</v>
      </c>
      <c r="H61" s="138">
        <v>45891</v>
      </c>
      <c r="I61" s="138" t="s">
        <v>218</v>
      </c>
      <c r="J61" s="138">
        <v>45868</v>
      </c>
      <c r="K61" s="139">
        <v>45000</v>
      </c>
      <c r="L61" s="177" t="s">
        <v>218</v>
      </c>
      <c r="M61" s="178"/>
      <c r="N61" s="142">
        <v>45896</v>
      </c>
      <c r="O61" s="142" t="s">
        <v>237</v>
      </c>
      <c r="P61" s="142" t="s">
        <v>75</v>
      </c>
      <c r="Q61" s="142">
        <v>45896</v>
      </c>
      <c r="R61" s="142">
        <v>45891</v>
      </c>
      <c r="S61" s="142" t="s">
        <v>576</v>
      </c>
      <c r="T61" s="142" t="s">
        <v>361</v>
      </c>
      <c r="U61" s="142" t="s">
        <v>581</v>
      </c>
      <c r="V61" s="142" t="s">
        <v>578</v>
      </c>
      <c r="W61" s="142" t="s">
        <v>579</v>
      </c>
      <c r="X61" s="155"/>
      <c r="Y61" s="172"/>
    </row>
    <row r="62" spans="1:25" ht="27" customHeight="1" x14ac:dyDescent="0.15">
      <c r="A62" s="140">
        <v>2025</v>
      </c>
      <c r="B62" s="140">
        <v>63</v>
      </c>
      <c r="C62" s="140" t="s">
        <v>314</v>
      </c>
      <c r="D62" s="140" t="s">
        <v>378</v>
      </c>
      <c r="E62" s="176" t="s">
        <v>379</v>
      </c>
      <c r="F62" s="176" t="s">
        <v>380</v>
      </c>
      <c r="G62" s="142">
        <v>45889</v>
      </c>
      <c r="H62" s="138">
        <v>45889</v>
      </c>
      <c r="I62" s="138" t="s">
        <v>218</v>
      </c>
      <c r="J62" s="138">
        <v>45876</v>
      </c>
      <c r="K62" s="139">
        <v>50000</v>
      </c>
      <c r="L62" s="177" t="s">
        <v>218</v>
      </c>
      <c r="M62" s="178"/>
      <c r="N62" s="142">
        <v>45891</v>
      </c>
      <c r="O62" s="142" t="s">
        <v>197</v>
      </c>
      <c r="P62" s="142" t="s">
        <v>384</v>
      </c>
      <c r="Q62" s="142">
        <v>45891</v>
      </c>
      <c r="R62" s="142">
        <v>45889</v>
      </c>
      <c r="S62" s="142" t="s">
        <v>380</v>
      </c>
      <c r="T62" s="142" t="s">
        <v>381</v>
      </c>
      <c r="U62" s="142" t="s">
        <v>382</v>
      </c>
      <c r="V62" s="142" t="s">
        <v>382</v>
      </c>
      <c r="W62" s="142" t="s">
        <v>383</v>
      </c>
      <c r="X62" s="155"/>
      <c r="Y62" s="117"/>
    </row>
    <row r="63" spans="1:25" ht="27" customHeight="1" x14ac:dyDescent="0.15">
      <c r="A63" s="165">
        <v>2025</v>
      </c>
      <c r="B63" s="165">
        <v>64</v>
      </c>
      <c r="C63" s="165" t="s">
        <v>249</v>
      </c>
      <c r="D63" s="165" t="s">
        <v>385</v>
      </c>
      <c r="E63" s="167" t="s">
        <v>386</v>
      </c>
      <c r="F63" s="167" t="s">
        <v>271</v>
      </c>
      <c r="G63" s="168">
        <v>45848</v>
      </c>
      <c r="H63" s="169">
        <v>46052</v>
      </c>
      <c r="I63" s="169" t="s">
        <v>352</v>
      </c>
      <c r="J63" s="169">
        <v>45926</v>
      </c>
      <c r="K63" s="200">
        <v>12930000</v>
      </c>
      <c r="L63" s="165" t="s">
        <v>352</v>
      </c>
      <c r="M63" s="171" t="s">
        <v>387</v>
      </c>
      <c r="N63" s="146">
        <v>46048</v>
      </c>
      <c r="O63" s="146" t="s">
        <v>197</v>
      </c>
      <c r="P63" s="146" t="s">
        <v>384</v>
      </c>
      <c r="Q63" s="146">
        <v>46048</v>
      </c>
      <c r="R63" s="146">
        <v>46053</v>
      </c>
      <c r="S63" s="146" t="s">
        <v>582</v>
      </c>
      <c r="T63" s="146" t="s">
        <v>583</v>
      </c>
      <c r="U63" s="146" t="s">
        <v>584</v>
      </c>
      <c r="V63" s="146" t="s">
        <v>585</v>
      </c>
      <c r="W63" s="146" t="s">
        <v>586</v>
      </c>
      <c r="X63" s="172"/>
      <c r="Y63" s="132"/>
    </row>
    <row r="64" spans="1:25" ht="27" customHeight="1" x14ac:dyDescent="0.15">
      <c r="A64" s="140">
        <v>2025</v>
      </c>
      <c r="B64" s="140">
        <v>65</v>
      </c>
      <c r="C64" s="140" t="s">
        <v>214</v>
      </c>
      <c r="D64" s="140" t="s">
        <v>587</v>
      </c>
      <c r="E64" s="176" t="s">
        <v>588</v>
      </c>
      <c r="F64" s="176" t="s">
        <v>589</v>
      </c>
      <c r="G64" s="142">
        <v>45874</v>
      </c>
      <c r="H64" s="138">
        <v>45892</v>
      </c>
      <c r="I64" s="138" t="s">
        <v>248</v>
      </c>
      <c r="J64" s="138"/>
      <c r="K64" s="139">
        <v>90000</v>
      </c>
      <c r="L64" s="177" t="s">
        <v>218</v>
      </c>
      <c r="M64" s="178"/>
      <c r="N64" s="142">
        <v>45895</v>
      </c>
      <c r="O64" s="142" t="s">
        <v>197</v>
      </c>
      <c r="P64" s="142" t="s">
        <v>590</v>
      </c>
      <c r="Q64" s="142">
        <v>45895</v>
      </c>
      <c r="R64" s="142">
        <v>45892</v>
      </c>
      <c r="S64" s="142" t="s">
        <v>591</v>
      </c>
      <c r="T64" s="142" t="s">
        <v>592</v>
      </c>
      <c r="U64" s="142" t="s">
        <v>593</v>
      </c>
      <c r="V64" s="142" t="s">
        <v>474</v>
      </c>
      <c r="W64" s="142" t="s">
        <v>594</v>
      </c>
      <c r="X64" s="155" t="s">
        <v>590</v>
      </c>
      <c r="Y64" s="117"/>
    </row>
    <row r="65" spans="1:25" ht="27" customHeight="1" x14ac:dyDescent="0.15">
      <c r="A65" s="140">
        <v>2025</v>
      </c>
      <c r="B65" s="140">
        <v>66</v>
      </c>
      <c r="C65" s="140" t="s">
        <v>214</v>
      </c>
      <c r="D65" s="140" t="s">
        <v>595</v>
      </c>
      <c r="E65" s="176" t="s">
        <v>596</v>
      </c>
      <c r="F65" s="176" t="s">
        <v>597</v>
      </c>
      <c r="G65" s="142">
        <v>45860</v>
      </c>
      <c r="H65" s="138">
        <v>45877</v>
      </c>
      <c r="I65" s="138" t="s">
        <v>248</v>
      </c>
      <c r="J65" s="138"/>
      <c r="K65" s="139">
        <v>120000</v>
      </c>
      <c r="L65" s="177" t="s">
        <v>218</v>
      </c>
      <c r="M65" s="178"/>
      <c r="N65" s="142">
        <v>45896</v>
      </c>
      <c r="O65" s="142" t="s">
        <v>237</v>
      </c>
      <c r="P65" s="142" t="s">
        <v>598</v>
      </c>
      <c r="Q65" s="142">
        <v>45895</v>
      </c>
      <c r="R65" s="142">
        <v>45877</v>
      </c>
      <c r="S65" s="142" t="s">
        <v>599</v>
      </c>
      <c r="T65" s="142" t="s">
        <v>600</v>
      </c>
      <c r="U65" s="142" t="s">
        <v>601</v>
      </c>
      <c r="V65" s="142" t="s">
        <v>602</v>
      </c>
      <c r="W65" s="142" t="s">
        <v>603</v>
      </c>
      <c r="X65" s="155" t="s">
        <v>604</v>
      </c>
      <c r="Y65" s="117"/>
    </row>
    <row r="66" spans="1:25" ht="27" customHeight="1" x14ac:dyDescent="0.15">
      <c r="A66" s="184">
        <v>2025</v>
      </c>
      <c r="B66" s="184">
        <v>67</v>
      </c>
      <c r="C66" s="184" t="s">
        <v>211</v>
      </c>
      <c r="D66" s="184" t="s">
        <v>605</v>
      </c>
      <c r="E66" s="186" t="s">
        <v>606</v>
      </c>
      <c r="F66" s="186" t="s">
        <v>607</v>
      </c>
      <c r="G66" s="187">
        <v>45901</v>
      </c>
      <c r="H66" s="188">
        <v>45949</v>
      </c>
      <c r="I66" s="188" t="s">
        <v>352</v>
      </c>
      <c r="J66" s="188">
        <v>45897</v>
      </c>
      <c r="K66" s="189">
        <v>3800000</v>
      </c>
      <c r="L66" s="184" t="s">
        <v>555</v>
      </c>
      <c r="M66" s="190" t="s">
        <v>608</v>
      </c>
      <c r="N66" s="142" t="s">
        <v>556</v>
      </c>
      <c r="O66" s="142"/>
      <c r="P66" s="142"/>
      <c r="Q66" s="142"/>
      <c r="R66" s="142"/>
      <c r="S66" s="142"/>
      <c r="T66" s="142"/>
      <c r="U66" s="142"/>
      <c r="V66" s="142"/>
      <c r="W66" s="142"/>
      <c r="X66" s="155"/>
      <c r="Y66" s="172"/>
    </row>
    <row r="67" spans="1:25" ht="27" customHeight="1" x14ac:dyDescent="0.15">
      <c r="A67" s="114">
        <v>2025</v>
      </c>
      <c r="B67" s="114">
        <v>68</v>
      </c>
      <c r="C67" s="114" t="s">
        <v>375</v>
      </c>
      <c r="D67" s="114" t="s">
        <v>609</v>
      </c>
      <c r="E67" s="151" t="s">
        <v>610</v>
      </c>
      <c r="F67" s="151" t="s">
        <v>611</v>
      </c>
      <c r="G67" s="152">
        <v>45931</v>
      </c>
      <c r="H67" s="112">
        <v>46173</v>
      </c>
      <c r="I67" s="112" t="s">
        <v>352</v>
      </c>
      <c r="J67" s="112">
        <v>45910</v>
      </c>
      <c r="K67" s="113">
        <v>284900000</v>
      </c>
      <c r="L67" s="201" t="s">
        <v>352</v>
      </c>
      <c r="M67" s="183" t="s">
        <v>612</v>
      </c>
      <c r="N67" s="116"/>
      <c r="O67" s="116"/>
      <c r="P67" s="116"/>
      <c r="Q67" s="116"/>
      <c r="R67" s="116"/>
      <c r="S67" s="116"/>
      <c r="T67" s="116"/>
      <c r="U67" s="116"/>
      <c r="V67" s="116"/>
      <c r="W67" s="116"/>
      <c r="X67" s="117"/>
      <c r="Y67" s="117"/>
    </row>
    <row r="68" spans="1:25" ht="27" customHeight="1" x14ac:dyDescent="0.15">
      <c r="A68" s="114">
        <v>2025</v>
      </c>
      <c r="B68" s="114">
        <v>69</v>
      </c>
      <c r="C68" s="114" t="s">
        <v>613</v>
      </c>
      <c r="D68" s="114" t="s">
        <v>614</v>
      </c>
      <c r="E68" s="151" t="s">
        <v>615</v>
      </c>
      <c r="F68" s="151" t="s">
        <v>616</v>
      </c>
      <c r="G68" s="152">
        <v>45944</v>
      </c>
      <c r="H68" s="112">
        <v>46095</v>
      </c>
      <c r="I68" s="112" t="s">
        <v>352</v>
      </c>
      <c r="J68" s="112">
        <v>45947</v>
      </c>
      <c r="K68" s="113">
        <v>146000000</v>
      </c>
      <c r="L68" s="114" t="s">
        <v>352</v>
      </c>
      <c r="M68" s="183" t="s">
        <v>612</v>
      </c>
      <c r="N68" s="116"/>
      <c r="O68" s="116"/>
      <c r="P68" s="116"/>
      <c r="Q68" s="116"/>
      <c r="R68" s="116"/>
      <c r="S68" s="116"/>
      <c r="T68" s="116"/>
      <c r="U68" s="116"/>
      <c r="V68" s="116"/>
      <c r="W68" s="116"/>
      <c r="X68" s="117"/>
      <c r="Y68" s="162"/>
    </row>
    <row r="69" spans="1:25" ht="27" customHeight="1" x14ac:dyDescent="0.15">
      <c r="A69" s="44">
        <v>2025</v>
      </c>
      <c r="B69" s="44">
        <v>70</v>
      </c>
      <c r="C69" s="44" t="s">
        <v>214</v>
      </c>
      <c r="D69" s="44" t="s">
        <v>617</v>
      </c>
      <c r="E69" s="145" t="s">
        <v>618</v>
      </c>
      <c r="F69" s="145" t="s">
        <v>619</v>
      </c>
      <c r="G69" s="146">
        <v>45890</v>
      </c>
      <c r="H69" s="147">
        <v>45890</v>
      </c>
      <c r="I69" s="147" t="s">
        <v>253</v>
      </c>
      <c r="J69" s="147"/>
      <c r="K69" s="148">
        <v>90000</v>
      </c>
      <c r="L69" s="44" t="s">
        <v>253</v>
      </c>
      <c r="M69" s="149"/>
      <c r="N69" s="146">
        <v>45908</v>
      </c>
      <c r="O69" s="146" t="s">
        <v>197</v>
      </c>
      <c r="P69" s="146" t="s">
        <v>590</v>
      </c>
      <c r="Q69" s="146">
        <v>45908</v>
      </c>
      <c r="R69" s="146">
        <v>45890</v>
      </c>
      <c r="S69" s="146" t="s">
        <v>620</v>
      </c>
      <c r="T69" s="146" t="s">
        <v>621</v>
      </c>
      <c r="U69" s="146" t="s">
        <v>622</v>
      </c>
      <c r="V69" s="146" t="s">
        <v>623</v>
      </c>
      <c r="W69" s="146" t="s">
        <v>624</v>
      </c>
      <c r="X69" s="172"/>
      <c r="Y69" s="117"/>
    </row>
    <row r="70" spans="1:25" ht="27" customHeight="1" x14ac:dyDescent="0.15">
      <c r="A70" s="44">
        <v>2025</v>
      </c>
      <c r="B70" s="44">
        <v>71</v>
      </c>
      <c r="C70" s="44" t="s">
        <v>211</v>
      </c>
      <c r="D70" s="44" t="s">
        <v>625</v>
      </c>
      <c r="E70" s="145" t="s">
        <v>626</v>
      </c>
      <c r="F70" s="145" t="s">
        <v>627</v>
      </c>
      <c r="G70" s="146">
        <v>45876</v>
      </c>
      <c r="H70" s="147">
        <v>45877</v>
      </c>
      <c r="I70" s="147" t="s">
        <v>253</v>
      </c>
      <c r="J70" s="147">
        <v>45876</v>
      </c>
      <c r="K70" s="148">
        <v>50000</v>
      </c>
      <c r="L70" s="44" t="s">
        <v>253</v>
      </c>
      <c r="M70" s="149"/>
      <c r="N70" s="146">
        <v>45910</v>
      </c>
      <c r="O70" s="146" t="s">
        <v>237</v>
      </c>
      <c r="P70" s="146" t="s">
        <v>238</v>
      </c>
      <c r="Q70" s="146">
        <v>45910</v>
      </c>
      <c r="R70" s="146">
        <v>45877</v>
      </c>
      <c r="S70" s="146" t="s">
        <v>628</v>
      </c>
      <c r="T70" s="146" t="s">
        <v>239</v>
      </c>
      <c r="U70" s="146" t="s">
        <v>629</v>
      </c>
      <c r="V70" s="146" t="s">
        <v>241</v>
      </c>
      <c r="W70" s="146" t="s">
        <v>244</v>
      </c>
      <c r="X70" s="172" t="s">
        <v>630</v>
      </c>
      <c r="Y70" s="117"/>
    </row>
    <row r="71" spans="1:25" ht="27" customHeight="1" x14ac:dyDescent="0.15">
      <c r="A71" s="43">
        <v>2025</v>
      </c>
      <c r="B71" s="43">
        <v>72</v>
      </c>
      <c r="C71" s="43" t="s">
        <v>331</v>
      </c>
      <c r="D71" s="43" t="s">
        <v>388</v>
      </c>
      <c r="E71" s="133" t="s">
        <v>631</v>
      </c>
      <c r="F71" s="133" t="s">
        <v>632</v>
      </c>
      <c r="G71" s="126" t="s">
        <v>218</v>
      </c>
      <c r="H71" s="126" t="s">
        <v>218</v>
      </c>
      <c r="I71" s="126" t="s">
        <v>218</v>
      </c>
      <c r="J71" s="126" t="s">
        <v>218</v>
      </c>
      <c r="K71" s="126" t="s">
        <v>218</v>
      </c>
      <c r="L71" s="43"/>
      <c r="M71" s="150"/>
      <c r="N71" s="116"/>
      <c r="O71" s="116"/>
      <c r="P71" s="116"/>
      <c r="Q71" s="116"/>
      <c r="R71" s="116"/>
      <c r="S71" s="116"/>
      <c r="T71" s="116"/>
      <c r="U71" s="116"/>
      <c r="V71" s="116"/>
      <c r="W71" s="116"/>
      <c r="X71" s="117"/>
      <c r="Y71" s="155"/>
    </row>
    <row r="72" spans="1:25" ht="27" customHeight="1" x14ac:dyDescent="0.15">
      <c r="A72" s="114">
        <v>2025</v>
      </c>
      <c r="B72" s="114">
        <v>73</v>
      </c>
      <c r="C72" s="114" t="s">
        <v>331</v>
      </c>
      <c r="D72" s="114" t="s">
        <v>633</v>
      </c>
      <c r="E72" s="151" t="s">
        <v>634</v>
      </c>
      <c r="F72" s="151" t="s">
        <v>635</v>
      </c>
      <c r="G72" s="152">
        <v>45962</v>
      </c>
      <c r="H72" s="112">
        <v>46067</v>
      </c>
      <c r="I72" s="112" t="s">
        <v>352</v>
      </c>
      <c r="J72" s="112">
        <v>45954</v>
      </c>
      <c r="K72" s="113">
        <v>28790000</v>
      </c>
      <c r="L72" s="114" t="s">
        <v>352</v>
      </c>
      <c r="M72" s="153"/>
      <c r="N72" s="116"/>
      <c r="O72" s="116"/>
      <c r="P72" s="116"/>
      <c r="Q72" s="116"/>
      <c r="R72" s="116"/>
      <c r="S72" s="116"/>
      <c r="T72" s="116"/>
      <c r="U72" s="116"/>
      <c r="V72" s="116"/>
      <c r="W72" s="116"/>
      <c r="X72" s="117" t="s">
        <v>636</v>
      </c>
      <c r="Y72" s="155"/>
    </row>
    <row r="73" spans="1:25" ht="27" customHeight="1" x14ac:dyDescent="0.15">
      <c r="A73" s="44">
        <v>2025</v>
      </c>
      <c r="B73" s="44">
        <v>74</v>
      </c>
      <c r="C73" s="44" t="s">
        <v>637</v>
      </c>
      <c r="D73" s="44" t="s">
        <v>638</v>
      </c>
      <c r="E73" s="145" t="s">
        <v>639</v>
      </c>
      <c r="F73" s="145" t="s">
        <v>640</v>
      </c>
      <c r="G73" s="146">
        <v>45913</v>
      </c>
      <c r="H73" s="147">
        <v>45913</v>
      </c>
      <c r="I73" s="147" t="s">
        <v>352</v>
      </c>
      <c r="J73" s="147">
        <v>45912</v>
      </c>
      <c r="K73" s="148">
        <v>250000</v>
      </c>
      <c r="L73" s="44" t="s">
        <v>253</v>
      </c>
      <c r="M73" s="149"/>
      <c r="N73" s="146">
        <v>45916</v>
      </c>
      <c r="O73" s="146" t="s">
        <v>333</v>
      </c>
      <c r="P73" s="146" t="s">
        <v>75</v>
      </c>
      <c r="Q73" s="146">
        <v>45916</v>
      </c>
      <c r="R73" s="146">
        <v>45913</v>
      </c>
      <c r="S73" s="146" t="s">
        <v>641</v>
      </c>
      <c r="T73" s="146" t="s">
        <v>642</v>
      </c>
      <c r="U73" s="146" t="s">
        <v>643</v>
      </c>
      <c r="V73" s="146" t="s">
        <v>644</v>
      </c>
      <c r="W73" s="146" t="s">
        <v>645</v>
      </c>
      <c r="X73" s="172"/>
      <c r="Y73" s="155"/>
    </row>
    <row r="74" spans="1:25" ht="27" customHeight="1" x14ac:dyDescent="0.15">
      <c r="A74" s="44">
        <v>2025</v>
      </c>
      <c r="B74" s="44">
        <v>75</v>
      </c>
      <c r="C74" s="44" t="s">
        <v>214</v>
      </c>
      <c r="D74" s="44" t="s">
        <v>646</v>
      </c>
      <c r="E74" s="145" t="s">
        <v>647</v>
      </c>
      <c r="F74" s="145" t="s">
        <v>648</v>
      </c>
      <c r="G74" s="146">
        <v>45916</v>
      </c>
      <c r="H74" s="147">
        <v>45916</v>
      </c>
      <c r="I74" s="147" t="s">
        <v>218</v>
      </c>
      <c r="J74" s="147"/>
      <c r="K74" s="148">
        <v>410000</v>
      </c>
      <c r="L74" s="44" t="s">
        <v>218</v>
      </c>
      <c r="M74" s="149"/>
      <c r="N74" s="146">
        <v>45932</v>
      </c>
      <c r="O74" s="146" t="s">
        <v>199</v>
      </c>
      <c r="P74" s="146" t="s">
        <v>273</v>
      </c>
      <c r="Q74" s="146">
        <v>45916</v>
      </c>
      <c r="R74" s="146">
        <v>45916</v>
      </c>
      <c r="S74" s="146" t="s">
        <v>649</v>
      </c>
      <c r="T74" s="146" t="s">
        <v>621</v>
      </c>
      <c r="U74" s="146" t="s">
        <v>650</v>
      </c>
      <c r="V74" s="146" t="s">
        <v>474</v>
      </c>
      <c r="W74" s="146" t="s">
        <v>651</v>
      </c>
      <c r="X74" s="172" t="s">
        <v>652</v>
      </c>
      <c r="Y74" s="172"/>
    </row>
    <row r="75" spans="1:25" ht="27" customHeight="1" x14ac:dyDescent="0.15">
      <c r="A75" s="44">
        <v>2025</v>
      </c>
      <c r="B75" s="44">
        <v>76</v>
      </c>
      <c r="C75" s="44" t="s">
        <v>375</v>
      </c>
      <c r="D75" s="44" t="s">
        <v>653</v>
      </c>
      <c r="E75" s="145" t="s">
        <v>654</v>
      </c>
      <c r="F75" s="145" t="s">
        <v>374</v>
      </c>
      <c r="G75" s="146">
        <v>45920</v>
      </c>
      <c r="H75" s="147">
        <v>45920</v>
      </c>
      <c r="I75" s="147" t="s">
        <v>218</v>
      </c>
      <c r="J75" s="147">
        <v>45912</v>
      </c>
      <c r="K75" s="148">
        <v>55000</v>
      </c>
      <c r="L75" s="44" t="s">
        <v>218</v>
      </c>
      <c r="M75" s="149"/>
      <c r="N75" s="146">
        <v>45926</v>
      </c>
      <c r="O75" s="146" t="s">
        <v>197</v>
      </c>
      <c r="P75" s="146"/>
      <c r="Q75" s="146">
        <v>45926</v>
      </c>
      <c r="R75" s="146">
        <v>45920</v>
      </c>
      <c r="S75" s="146" t="s">
        <v>576</v>
      </c>
      <c r="T75" s="146" t="s">
        <v>361</v>
      </c>
      <c r="U75" s="146" t="s">
        <v>577</v>
      </c>
      <c r="V75" s="146" t="s">
        <v>578</v>
      </c>
      <c r="W75" s="146" t="s">
        <v>655</v>
      </c>
      <c r="X75" s="172"/>
      <c r="Y75" s="117"/>
    </row>
    <row r="76" spans="1:25" ht="27" customHeight="1" x14ac:dyDescent="0.15">
      <c r="A76" s="44">
        <v>2025</v>
      </c>
      <c r="B76" s="44">
        <v>77</v>
      </c>
      <c r="C76" s="44" t="s">
        <v>375</v>
      </c>
      <c r="D76" s="44" t="s">
        <v>656</v>
      </c>
      <c r="E76" s="145" t="s">
        <v>657</v>
      </c>
      <c r="F76" s="145" t="s">
        <v>658</v>
      </c>
      <c r="G76" s="146">
        <v>45929</v>
      </c>
      <c r="H76" s="147">
        <v>45929</v>
      </c>
      <c r="I76" s="147" t="s">
        <v>248</v>
      </c>
      <c r="J76" s="147">
        <v>45922</v>
      </c>
      <c r="K76" s="148">
        <v>39000</v>
      </c>
      <c r="L76" s="44" t="s">
        <v>218</v>
      </c>
      <c r="M76" s="149"/>
      <c r="N76" s="146">
        <v>45929</v>
      </c>
      <c r="O76" s="146" t="s">
        <v>659</v>
      </c>
      <c r="P76" s="146"/>
      <c r="Q76" s="146">
        <v>45929</v>
      </c>
      <c r="R76" s="146">
        <v>45929</v>
      </c>
      <c r="S76" s="146" t="s">
        <v>660</v>
      </c>
      <c r="T76" s="146" t="s">
        <v>661</v>
      </c>
      <c r="U76" s="146" t="s">
        <v>662</v>
      </c>
      <c r="V76" s="146" t="s">
        <v>663</v>
      </c>
      <c r="W76" s="146" t="s">
        <v>664</v>
      </c>
      <c r="X76" s="172"/>
      <c r="Y76" s="117"/>
    </row>
    <row r="77" spans="1:25" ht="27" customHeight="1" x14ac:dyDescent="0.15">
      <c r="A77" s="165">
        <v>2025</v>
      </c>
      <c r="B77" s="165">
        <v>78</v>
      </c>
      <c r="C77" s="165" t="s">
        <v>665</v>
      </c>
      <c r="D77" s="165" t="s">
        <v>666</v>
      </c>
      <c r="E77" s="167" t="s">
        <v>667</v>
      </c>
      <c r="F77" s="167" t="s">
        <v>668</v>
      </c>
      <c r="G77" s="168">
        <v>45870</v>
      </c>
      <c r="H77" s="169">
        <v>46112</v>
      </c>
      <c r="I77" s="169" t="s">
        <v>352</v>
      </c>
      <c r="J77" s="202"/>
      <c r="K77" s="203">
        <v>14700000</v>
      </c>
      <c r="L77" s="165" t="s">
        <v>253</v>
      </c>
      <c r="M77" s="171" t="s">
        <v>304</v>
      </c>
      <c r="N77" s="146">
        <v>46120</v>
      </c>
      <c r="O77" s="146" t="s">
        <v>333</v>
      </c>
      <c r="P77" s="146" t="s">
        <v>75</v>
      </c>
      <c r="Q77" s="146">
        <v>46120</v>
      </c>
      <c r="R77" s="146">
        <v>46112</v>
      </c>
      <c r="S77" s="146" t="s">
        <v>669</v>
      </c>
      <c r="T77" s="146" t="s">
        <v>670</v>
      </c>
      <c r="U77" s="146" t="s">
        <v>671</v>
      </c>
      <c r="V77" s="146" t="s">
        <v>672</v>
      </c>
      <c r="W77" s="146" t="s">
        <v>673</v>
      </c>
      <c r="X77" s="132" t="s">
        <v>674</v>
      </c>
      <c r="Y77" s="192"/>
    </row>
    <row r="78" spans="1:25" ht="27" customHeight="1" x14ac:dyDescent="0.15">
      <c r="A78" s="165">
        <v>2025</v>
      </c>
      <c r="B78" s="165">
        <v>79</v>
      </c>
      <c r="C78" s="165" t="s">
        <v>214</v>
      </c>
      <c r="D78" s="165" t="s">
        <v>675</v>
      </c>
      <c r="E78" s="167" t="s">
        <v>676</v>
      </c>
      <c r="F78" s="167" t="s">
        <v>677</v>
      </c>
      <c r="G78" s="168">
        <v>45931</v>
      </c>
      <c r="H78" s="169">
        <v>45931</v>
      </c>
      <c r="I78" s="204" t="s">
        <v>248</v>
      </c>
      <c r="J78" s="169"/>
      <c r="K78" s="200">
        <v>35000</v>
      </c>
      <c r="L78" s="205" t="s">
        <v>218</v>
      </c>
      <c r="M78" s="206" t="s">
        <v>348</v>
      </c>
      <c r="N78" s="146">
        <v>45932</v>
      </c>
      <c r="O78" s="146" t="s">
        <v>197</v>
      </c>
      <c r="P78" s="146" t="s">
        <v>273</v>
      </c>
      <c r="Q78" s="146">
        <v>45931</v>
      </c>
      <c r="R78" s="146">
        <v>45931</v>
      </c>
      <c r="S78" s="146" t="s">
        <v>678</v>
      </c>
      <c r="T78" s="146" t="s">
        <v>297</v>
      </c>
      <c r="U78" s="146" t="s">
        <v>679</v>
      </c>
      <c r="V78" s="146" t="s">
        <v>680</v>
      </c>
      <c r="W78" s="146" t="s">
        <v>681</v>
      </c>
      <c r="X78" s="172"/>
      <c r="Y78" s="117"/>
    </row>
    <row r="79" spans="1:25" ht="27" customHeight="1" x14ac:dyDescent="0.15">
      <c r="A79" s="165">
        <v>2025</v>
      </c>
      <c r="B79" s="165">
        <v>80</v>
      </c>
      <c r="C79" s="165" t="s">
        <v>214</v>
      </c>
      <c r="D79" s="165" t="s">
        <v>682</v>
      </c>
      <c r="E79" s="167" t="s">
        <v>683</v>
      </c>
      <c r="F79" s="167" t="s">
        <v>684</v>
      </c>
      <c r="G79" s="168">
        <v>45926</v>
      </c>
      <c r="H79" s="169">
        <v>45926</v>
      </c>
      <c r="I79" s="204" t="s">
        <v>248</v>
      </c>
      <c r="J79" s="169"/>
      <c r="K79" s="200">
        <v>83000</v>
      </c>
      <c r="L79" s="205" t="s">
        <v>218</v>
      </c>
      <c r="M79" s="171"/>
      <c r="N79" s="146">
        <v>45933</v>
      </c>
      <c r="O79" s="146" t="s">
        <v>685</v>
      </c>
      <c r="P79" s="146" t="s">
        <v>75</v>
      </c>
      <c r="Q79" s="146"/>
      <c r="R79" s="146">
        <v>45926</v>
      </c>
      <c r="S79" s="146" t="s">
        <v>686</v>
      </c>
      <c r="T79" s="146" t="s">
        <v>291</v>
      </c>
      <c r="U79" s="146" t="s">
        <v>687</v>
      </c>
      <c r="V79" s="146" t="s">
        <v>688</v>
      </c>
      <c r="W79" s="146" t="s">
        <v>689</v>
      </c>
      <c r="X79" s="172" t="s">
        <v>690</v>
      </c>
      <c r="Y79" s="117"/>
    </row>
    <row r="80" spans="1:25" ht="27" customHeight="1" x14ac:dyDescent="0.15">
      <c r="A80" s="184">
        <v>2025</v>
      </c>
      <c r="B80" s="184">
        <v>82</v>
      </c>
      <c r="C80" s="184" t="s">
        <v>209</v>
      </c>
      <c r="D80" s="184" t="s">
        <v>691</v>
      </c>
      <c r="E80" s="186" t="s">
        <v>692</v>
      </c>
      <c r="F80" s="186" t="s">
        <v>693</v>
      </c>
      <c r="G80" s="187">
        <v>45938</v>
      </c>
      <c r="H80" s="188">
        <v>45985</v>
      </c>
      <c r="I80" s="207" t="s">
        <v>248</v>
      </c>
      <c r="J80" s="188">
        <v>45938</v>
      </c>
      <c r="K80" s="189">
        <v>1150000</v>
      </c>
      <c r="L80" s="208" t="s">
        <v>555</v>
      </c>
      <c r="M80" s="190"/>
      <c r="N80" s="142" t="s">
        <v>556</v>
      </c>
      <c r="O80" s="142"/>
      <c r="P80" s="142"/>
      <c r="Q80" s="142"/>
      <c r="R80" s="142"/>
      <c r="S80" s="142"/>
      <c r="T80" s="142"/>
      <c r="U80" s="142"/>
      <c r="V80" s="142"/>
      <c r="W80" s="142"/>
      <c r="X80" s="155"/>
      <c r="Y80" s="172"/>
    </row>
    <row r="81" spans="1:25" ht="27" customHeight="1" x14ac:dyDescent="0.15">
      <c r="A81" s="165">
        <v>2025</v>
      </c>
      <c r="B81" s="165">
        <v>83</v>
      </c>
      <c r="C81" s="165" t="s">
        <v>637</v>
      </c>
      <c r="D81" s="165" t="s">
        <v>694</v>
      </c>
      <c r="E81" s="167" t="s">
        <v>695</v>
      </c>
      <c r="F81" s="167" t="s">
        <v>696</v>
      </c>
      <c r="G81" s="168">
        <v>45957</v>
      </c>
      <c r="H81" s="169">
        <v>45961</v>
      </c>
      <c r="I81" s="204" t="s">
        <v>248</v>
      </c>
      <c r="J81" s="169">
        <v>45930</v>
      </c>
      <c r="K81" s="200">
        <v>225000</v>
      </c>
      <c r="L81" s="205" t="s">
        <v>218</v>
      </c>
      <c r="M81" s="171"/>
      <c r="N81" s="146">
        <v>45968</v>
      </c>
      <c r="O81" s="146" t="s">
        <v>199</v>
      </c>
      <c r="P81" s="146"/>
      <c r="Q81" s="146">
        <v>45967</v>
      </c>
      <c r="R81" s="146">
        <v>45961</v>
      </c>
      <c r="S81" s="146" t="s">
        <v>697</v>
      </c>
      <c r="T81" s="146"/>
      <c r="U81" s="146"/>
      <c r="V81" s="146" t="s">
        <v>698</v>
      </c>
      <c r="W81" s="146"/>
      <c r="X81" s="172" t="s">
        <v>699</v>
      </c>
      <c r="Y81" s="155"/>
    </row>
    <row r="82" spans="1:25" ht="27" customHeight="1" x14ac:dyDescent="0.15">
      <c r="A82" s="165">
        <v>2025</v>
      </c>
      <c r="B82" s="165">
        <v>84</v>
      </c>
      <c r="C82" s="165" t="s">
        <v>375</v>
      </c>
      <c r="D82" s="165" t="s">
        <v>700</v>
      </c>
      <c r="E82" s="167" t="s">
        <v>701</v>
      </c>
      <c r="F82" s="167" t="s">
        <v>702</v>
      </c>
      <c r="G82" s="168">
        <v>45939</v>
      </c>
      <c r="H82" s="169">
        <v>45939</v>
      </c>
      <c r="I82" s="169"/>
      <c r="J82" s="209"/>
      <c r="K82" s="210">
        <v>205000</v>
      </c>
      <c r="L82" s="165" t="s">
        <v>218</v>
      </c>
      <c r="M82" s="171"/>
      <c r="N82" s="146">
        <v>45945</v>
      </c>
      <c r="O82" s="146" t="s">
        <v>237</v>
      </c>
      <c r="P82" s="146" t="s">
        <v>75</v>
      </c>
      <c r="Q82" s="146">
        <v>45945</v>
      </c>
      <c r="R82" s="146">
        <v>45939</v>
      </c>
      <c r="S82" s="146" t="s">
        <v>702</v>
      </c>
      <c r="T82" s="146" t="s">
        <v>703</v>
      </c>
      <c r="U82" s="146" t="s">
        <v>704</v>
      </c>
      <c r="V82" s="146" t="s">
        <v>705</v>
      </c>
      <c r="W82" s="146" t="s">
        <v>706</v>
      </c>
      <c r="X82" s="132" t="s">
        <v>707</v>
      </c>
      <c r="Y82" s="172"/>
    </row>
    <row r="83" spans="1:25" ht="27" customHeight="1" x14ac:dyDescent="0.15">
      <c r="A83" s="184">
        <v>2025</v>
      </c>
      <c r="B83" s="184">
        <v>85</v>
      </c>
      <c r="C83" s="184" t="s">
        <v>211</v>
      </c>
      <c r="D83" s="184" t="s">
        <v>708</v>
      </c>
      <c r="E83" s="186" t="s">
        <v>709</v>
      </c>
      <c r="F83" s="186" t="s">
        <v>607</v>
      </c>
      <c r="G83" s="187">
        <v>45952</v>
      </c>
      <c r="H83" s="188">
        <v>46016</v>
      </c>
      <c r="I83" s="188" t="s">
        <v>352</v>
      </c>
      <c r="J83" s="188">
        <v>45952</v>
      </c>
      <c r="K83" s="189">
        <v>1560000</v>
      </c>
      <c r="L83" s="184" t="s">
        <v>555</v>
      </c>
      <c r="M83" s="190"/>
      <c r="N83" s="142" t="s">
        <v>556</v>
      </c>
      <c r="O83" s="142"/>
      <c r="P83" s="142"/>
      <c r="Q83" s="142"/>
      <c r="R83" s="142"/>
      <c r="S83" s="142"/>
      <c r="T83" s="142"/>
      <c r="U83" s="142"/>
      <c r="V83" s="142"/>
      <c r="W83" s="142"/>
      <c r="X83" s="155"/>
      <c r="Y83" s="155"/>
    </row>
    <row r="84" spans="1:25" ht="27" customHeight="1" x14ac:dyDescent="0.15">
      <c r="A84" s="114">
        <v>2025</v>
      </c>
      <c r="B84" s="114">
        <v>86</v>
      </c>
      <c r="C84" s="114" t="s">
        <v>572</v>
      </c>
      <c r="D84" s="114" t="s">
        <v>710</v>
      </c>
      <c r="E84" s="151" t="s">
        <v>711</v>
      </c>
      <c r="F84" s="151" t="s">
        <v>712</v>
      </c>
      <c r="G84" s="152">
        <v>45931</v>
      </c>
      <c r="H84" s="112">
        <v>45936</v>
      </c>
      <c r="I84" s="112" t="s">
        <v>218</v>
      </c>
      <c r="J84" s="112"/>
      <c r="K84" s="113">
        <v>500000</v>
      </c>
      <c r="L84" s="114" t="s">
        <v>218</v>
      </c>
      <c r="M84" s="153"/>
      <c r="N84" s="116"/>
      <c r="O84" s="116"/>
      <c r="P84" s="116"/>
      <c r="Q84" s="116"/>
      <c r="R84" s="116"/>
      <c r="S84" s="116"/>
      <c r="T84" s="116"/>
      <c r="U84" s="116"/>
      <c r="V84" s="116"/>
      <c r="W84" s="116"/>
      <c r="X84" s="117"/>
      <c r="Y84" s="211"/>
    </row>
    <row r="85" spans="1:25" ht="27" customHeight="1" x14ac:dyDescent="0.15">
      <c r="A85" s="114">
        <v>2025</v>
      </c>
      <c r="B85" s="114">
        <v>87</v>
      </c>
      <c r="C85" s="114" t="s">
        <v>572</v>
      </c>
      <c r="D85" s="114" t="s">
        <v>713</v>
      </c>
      <c r="E85" s="151" t="s">
        <v>714</v>
      </c>
      <c r="F85" s="151" t="s">
        <v>712</v>
      </c>
      <c r="G85" s="152">
        <v>45944</v>
      </c>
      <c r="H85" s="112">
        <v>45975</v>
      </c>
      <c r="I85" s="112" t="s">
        <v>218</v>
      </c>
      <c r="J85" s="112"/>
      <c r="K85" s="113">
        <v>5900000</v>
      </c>
      <c r="L85" s="114" t="s">
        <v>218</v>
      </c>
      <c r="M85" s="183" t="s">
        <v>348</v>
      </c>
      <c r="N85" s="116"/>
      <c r="O85" s="116"/>
      <c r="P85" s="116"/>
      <c r="Q85" s="116"/>
      <c r="R85" s="116"/>
      <c r="S85" s="116"/>
      <c r="T85" s="116"/>
      <c r="U85" s="116"/>
      <c r="V85" s="116"/>
      <c r="W85" s="116"/>
      <c r="X85" s="117"/>
      <c r="Y85" s="192"/>
    </row>
    <row r="86" spans="1:25" ht="27" customHeight="1" x14ac:dyDescent="0.15">
      <c r="A86" s="184">
        <v>2025</v>
      </c>
      <c r="B86" s="184">
        <v>88</v>
      </c>
      <c r="C86" s="184" t="s">
        <v>211</v>
      </c>
      <c r="D86" s="184" t="s">
        <v>715</v>
      </c>
      <c r="E86" s="186" t="s">
        <v>716</v>
      </c>
      <c r="F86" s="186" t="s">
        <v>607</v>
      </c>
      <c r="G86" s="187">
        <v>45957</v>
      </c>
      <c r="H86" s="188">
        <v>45957</v>
      </c>
      <c r="I86" s="188" t="s">
        <v>352</v>
      </c>
      <c r="J86" s="188">
        <v>45957</v>
      </c>
      <c r="K86" s="189">
        <v>200000</v>
      </c>
      <c r="L86" s="184" t="s">
        <v>555</v>
      </c>
      <c r="M86" s="190"/>
      <c r="N86" s="142" t="s">
        <v>556</v>
      </c>
      <c r="O86" s="142"/>
      <c r="P86" s="142"/>
      <c r="Q86" s="142"/>
      <c r="R86" s="142"/>
      <c r="S86" s="142"/>
      <c r="T86" s="142"/>
      <c r="U86" s="142"/>
      <c r="V86" s="142"/>
      <c r="W86" s="142"/>
      <c r="X86" s="155"/>
      <c r="Y86" s="155"/>
    </row>
    <row r="87" spans="1:25" ht="27" customHeight="1" x14ac:dyDescent="0.15">
      <c r="A87" s="165">
        <v>2025</v>
      </c>
      <c r="B87" s="165">
        <v>89</v>
      </c>
      <c r="C87" s="165" t="s">
        <v>375</v>
      </c>
      <c r="D87" s="165" t="s">
        <v>717</v>
      </c>
      <c r="E87" s="167" t="s">
        <v>718</v>
      </c>
      <c r="F87" s="167" t="s">
        <v>719</v>
      </c>
      <c r="G87" s="168">
        <v>46027</v>
      </c>
      <c r="H87" s="169">
        <v>46059</v>
      </c>
      <c r="I87" s="169"/>
      <c r="J87" s="169"/>
      <c r="K87" s="200">
        <v>11028176</v>
      </c>
      <c r="L87" s="165" t="s">
        <v>352</v>
      </c>
      <c r="M87" s="171" t="s">
        <v>720</v>
      </c>
      <c r="N87" s="146">
        <v>46085</v>
      </c>
      <c r="O87" s="212" t="s">
        <v>721</v>
      </c>
      <c r="P87" s="146"/>
      <c r="Q87" s="146">
        <v>46085</v>
      </c>
      <c r="R87" s="146">
        <v>46059</v>
      </c>
      <c r="S87" s="146" t="s">
        <v>722</v>
      </c>
      <c r="T87" s="146" t="s">
        <v>327</v>
      </c>
      <c r="U87" s="146" t="s">
        <v>723</v>
      </c>
      <c r="V87" s="146" t="s">
        <v>724</v>
      </c>
      <c r="W87" s="146" t="s">
        <v>330</v>
      </c>
      <c r="X87" s="132" t="s">
        <v>725</v>
      </c>
      <c r="Y87" s="172"/>
    </row>
    <row r="88" spans="1:25" ht="27" customHeight="1" x14ac:dyDescent="0.15">
      <c r="A88" s="114">
        <v>2025</v>
      </c>
      <c r="B88" s="114">
        <v>90</v>
      </c>
      <c r="C88" s="114" t="s">
        <v>219</v>
      </c>
      <c r="D88" s="114" t="s">
        <v>726</v>
      </c>
      <c r="E88" s="151" t="s">
        <v>727</v>
      </c>
      <c r="F88" s="151" t="s">
        <v>728</v>
      </c>
      <c r="G88" s="152">
        <v>45951</v>
      </c>
      <c r="H88" s="112">
        <v>46111</v>
      </c>
      <c r="I88" s="112" t="s">
        <v>248</v>
      </c>
      <c r="J88" s="112">
        <v>45951</v>
      </c>
      <c r="K88" s="113">
        <v>15000000</v>
      </c>
      <c r="L88" s="114" t="s">
        <v>248</v>
      </c>
      <c r="M88" s="153"/>
      <c r="N88" s="116"/>
      <c r="O88" s="116"/>
      <c r="P88" s="116"/>
      <c r="Q88" s="116"/>
      <c r="R88" s="116"/>
      <c r="S88" s="116"/>
      <c r="T88" s="116"/>
      <c r="U88" s="116"/>
      <c r="V88" s="116"/>
      <c r="W88" s="116"/>
      <c r="X88" s="117"/>
      <c r="Y88" s="155"/>
    </row>
    <row r="89" spans="1:25" ht="27" customHeight="1" x14ac:dyDescent="0.15">
      <c r="A89" s="165">
        <v>2025</v>
      </c>
      <c r="B89" s="165">
        <v>91</v>
      </c>
      <c r="C89" s="165" t="s">
        <v>375</v>
      </c>
      <c r="D89" s="165" t="s">
        <v>729</v>
      </c>
      <c r="E89" s="167" t="s">
        <v>730</v>
      </c>
      <c r="F89" s="167" t="s">
        <v>658</v>
      </c>
      <c r="G89" s="168">
        <v>45957</v>
      </c>
      <c r="H89" s="169">
        <v>45957</v>
      </c>
      <c r="I89" s="169" t="s">
        <v>248</v>
      </c>
      <c r="J89" s="169"/>
      <c r="K89" s="200">
        <v>140000</v>
      </c>
      <c r="L89" s="165" t="s">
        <v>218</v>
      </c>
      <c r="M89" s="171"/>
      <c r="N89" s="146">
        <v>45961</v>
      </c>
      <c r="O89" s="146" t="s">
        <v>731</v>
      </c>
      <c r="P89" s="146" t="s">
        <v>273</v>
      </c>
      <c r="Q89" s="146">
        <v>45960</v>
      </c>
      <c r="R89" s="146">
        <v>45957</v>
      </c>
      <c r="S89" s="146" t="s">
        <v>660</v>
      </c>
      <c r="T89" s="146" t="s">
        <v>661</v>
      </c>
      <c r="U89" s="146" t="s">
        <v>662</v>
      </c>
      <c r="V89" s="146" t="s">
        <v>663</v>
      </c>
      <c r="W89" s="146" t="s">
        <v>664</v>
      </c>
      <c r="X89" s="132" t="s">
        <v>732</v>
      </c>
      <c r="Y89" s="172"/>
    </row>
    <row r="90" spans="1:25" ht="27" customHeight="1" x14ac:dyDescent="0.15">
      <c r="A90" s="114">
        <v>2025</v>
      </c>
      <c r="B90" s="114">
        <v>92</v>
      </c>
      <c r="C90" s="114" t="s">
        <v>249</v>
      </c>
      <c r="D90" s="114" t="s">
        <v>733</v>
      </c>
      <c r="E90" s="151" t="s">
        <v>734</v>
      </c>
      <c r="F90" s="151" t="s">
        <v>735</v>
      </c>
      <c r="G90" s="152">
        <v>45901</v>
      </c>
      <c r="H90" s="112">
        <v>45971</v>
      </c>
      <c r="I90" s="112" t="s">
        <v>352</v>
      </c>
      <c r="J90" s="112"/>
      <c r="K90" s="113">
        <v>360000</v>
      </c>
      <c r="L90" s="114" t="s">
        <v>559</v>
      </c>
      <c r="M90" s="129" t="s">
        <v>736</v>
      </c>
      <c r="N90" s="213"/>
      <c r="O90" s="116"/>
      <c r="P90" s="116"/>
      <c r="Q90" s="116"/>
      <c r="R90" s="116"/>
      <c r="S90" s="116"/>
      <c r="T90" s="116"/>
      <c r="U90" s="116"/>
      <c r="V90" s="116"/>
      <c r="W90" s="116"/>
      <c r="X90" s="117"/>
      <c r="Y90" s="172"/>
    </row>
    <row r="91" spans="1:25" ht="27" customHeight="1" x14ac:dyDescent="0.15">
      <c r="A91" s="165">
        <v>2025</v>
      </c>
      <c r="B91" s="165">
        <v>93</v>
      </c>
      <c r="C91" s="165" t="s">
        <v>637</v>
      </c>
      <c r="D91" s="165" t="s">
        <v>737</v>
      </c>
      <c r="E91" s="167" t="s">
        <v>738</v>
      </c>
      <c r="F91" s="167" t="s">
        <v>739</v>
      </c>
      <c r="G91" s="168">
        <v>45958</v>
      </c>
      <c r="H91" s="169">
        <v>45958</v>
      </c>
      <c r="I91" s="169" t="s">
        <v>352</v>
      </c>
      <c r="J91" s="169"/>
      <c r="K91" s="200">
        <v>40000</v>
      </c>
      <c r="L91" s="165" t="s">
        <v>253</v>
      </c>
      <c r="M91" s="171"/>
      <c r="N91" s="214">
        <v>45966</v>
      </c>
      <c r="O91" s="146" t="s">
        <v>237</v>
      </c>
      <c r="P91" s="146" t="s">
        <v>321</v>
      </c>
      <c r="Q91" s="146">
        <v>45966</v>
      </c>
      <c r="R91" s="146">
        <v>45958</v>
      </c>
      <c r="S91" s="146" t="s">
        <v>740</v>
      </c>
      <c r="T91" s="146" t="s">
        <v>741</v>
      </c>
      <c r="U91" s="146" t="s">
        <v>742</v>
      </c>
      <c r="V91" s="146" t="s">
        <v>743</v>
      </c>
      <c r="W91" s="146" t="s">
        <v>744</v>
      </c>
      <c r="X91" s="172"/>
      <c r="Y91" s="155"/>
    </row>
    <row r="92" spans="1:25" ht="27" customHeight="1" x14ac:dyDescent="0.15">
      <c r="A92" s="165">
        <v>2025</v>
      </c>
      <c r="B92" s="165">
        <v>94</v>
      </c>
      <c r="C92" s="165" t="s">
        <v>249</v>
      </c>
      <c r="D92" s="165" t="s">
        <v>745</v>
      </c>
      <c r="E92" s="167" t="s">
        <v>746</v>
      </c>
      <c r="F92" s="167" t="s">
        <v>747</v>
      </c>
      <c r="G92" s="168"/>
      <c r="H92" s="169"/>
      <c r="I92" s="169" t="s">
        <v>248</v>
      </c>
      <c r="J92" s="169">
        <v>45961</v>
      </c>
      <c r="K92" s="200">
        <v>80000</v>
      </c>
      <c r="L92" s="165" t="s">
        <v>218</v>
      </c>
      <c r="M92" s="171" t="s">
        <v>748</v>
      </c>
      <c r="N92" s="214">
        <v>45967</v>
      </c>
      <c r="O92" s="146" t="s">
        <v>75</v>
      </c>
      <c r="P92" s="146" t="s">
        <v>749</v>
      </c>
      <c r="Q92" s="146"/>
      <c r="R92" s="146"/>
      <c r="S92" s="146" t="s">
        <v>750</v>
      </c>
      <c r="T92" s="146" t="s">
        <v>751</v>
      </c>
      <c r="U92" s="146" t="s">
        <v>752</v>
      </c>
      <c r="V92" s="146" t="s">
        <v>753</v>
      </c>
      <c r="W92" s="146" t="s">
        <v>754</v>
      </c>
      <c r="X92" s="132" t="s">
        <v>755</v>
      </c>
      <c r="Y92" s="172"/>
    </row>
    <row r="93" spans="1:25" ht="27" customHeight="1" x14ac:dyDescent="0.15">
      <c r="A93" s="114">
        <v>2025</v>
      </c>
      <c r="B93" s="114">
        <v>95</v>
      </c>
      <c r="C93" s="114" t="s">
        <v>331</v>
      </c>
      <c r="D93" s="114" t="s">
        <v>756</v>
      </c>
      <c r="E93" s="151" t="s">
        <v>757</v>
      </c>
      <c r="F93" s="151" t="s">
        <v>758</v>
      </c>
      <c r="G93" s="152">
        <v>45931</v>
      </c>
      <c r="H93" s="112">
        <v>45982</v>
      </c>
      <c r="I93" s="112" t="s">
        <v>352</v>
      </c>
      <c r="J93" s="112">
        <v>45926</v>
      </c>
      <c r="K93" s="113">
        <v>630000</v>
      </c>
      <c r="L93" s="114" t="s">
        <v>352</v>
      </c>
      <c r="M93" s="153"/>
      <c r="N93" s="213"/>
      <c r="O93" s="116"/>
      <c r="P93" s="116"/>
      <c r="Q93" s="116"/>
      <c r="R93" s="116"/>
      <c r="S93" s="116"/>
      <c r="T93" s="116"/>
      <c r="U93" s="116"/>
      <c r="V93" s="116"/>
      <c r="W93" s="116"/>
      <c r="X93" s="117"/>
      <c r="Y93" s="155"/>
    </row>
    <row r="94" spans="1:25" ht="27" customHeight="1" x14ac:dyDescent="0.15">
      <c r="A94" s="165">
        <v>2025</v>
      </c>
      <c r="B94" s="165">
        <v>96</v>
      </c>
      <c r="C94" s="165" t="s">
        <v>214</v>
      </c>
      <c r="D94" s="165" t="s">
        <v>759</v>
      </c>
      <c r="E94" s="167" t="s">
        <v>760</v>
      </c>
      <c r="F94" s="167" t="s">
        <v>761</v>
      </c>
      <c r="G94" s="168">
        <v>45947</v>
      </c>
      <c r="H94" s="169">
        <v>45947</v>
      </c>
      <c r="I94" s="169" t="s">
        <v>218</v>
      </c>
      <c r="J94" s="169"/>
      <c r="K94" s="200">
        <v>160000</v>
      </c>
      <c r="L94" s="165" t="s">
        <v>218</v>
      </c>
      <c r="M94" s="171"/>
      <c r="N94" s="146">
        <v>45968</v>
      </c>
      <c r="O94" s="146" t="s">
        <v>197</v>
      </c>
      <c r="P94" s="146"/>
      <c r="Q94" s="146">
        <v>45968</v>
      </c>
      <c r="R94" s="146">
        <v>45968</v>
      </c>
      <c r="S94" s="146" t="s">
        <v>762</v>
      </c>
      <c r="T94" s="146"/>
      <c r="U94" s="146"/>
      <c r="V94" s="146"/>
      <c r="W94" s="146"/>
      <c r="X94" s="172"/>
      <c r="Y94" s="155"/>
    </row>
    <row r="95" spans="1:25" ht="27" customHeight="1" x14ac:dyDescent="0.15">
      <c r="A95" s="165">
        <v>2025</v>
      </c>
      <c r="B95" s="165">
        <v>97</v>
      </c>
      <c r="C95" s="165" t="s">
        <v>214</v>
      </c>
      <c r="D95" s="165" t="s">
        <v>763</v>
      </c>
      <c r="E95" s="167" t="s">
        <v>764</v>
      </c>
      <c r="F95" s="167" t="s">
        <v>765</v>
      </c>
      <c r="G95" s="168">
        <v>45947</v>
      </c>
      <c r="H95" s="169">
        <v>45947</v>
      </c>
      <c r="I95" s="169" t="s">
        <v>218</v>
      </c>
      <c r="J95" s="169"/>
      <c r="K95" s="200">
        <v>50000</v>
      </c>
      <c r="L95" s="165" t="s">
        <v>218</v>
      </c>
      <c r="M95" s="171"/>
      <c r="N95" s="146">
        <v>45968</v>
      </c>
      <c r="O95" s="146" t="s">
        <v>197</v>
      </c>
      <c r="P95" s="146"/>
      <c r="Q95" s="146">
        <v>45968</v>
      </c>
      <c r="R95" s="146">
        <v>45968</v>
      </c>
      <c r="S95" s="146"/>
      <c r="T95" s="146"/>
      <c r="U95" s="146"/>
      <c r="V95" s="146"/>
      <c r="W95" s="146"/>
      <c r="X95" s="172"/>
      <c r="Y95" s="117"/>
    </row>
    <row r="96" spans="1:25" ht="27" customHeight="1" x14ac:dyDescent="0.15">
      <c r="A96" s="165">
        <v>2025</v>
      </c>
      <c r="B96" s="165">
        <v>98</v>
      </c>
      <c r="C96" s="165" t="s">
        <v>637</v>
      </c>
      <c r="D96" s="165" t="s">
        <v>766</v>
      </c>
      <c r="E96" s="167" t="s">
        <v>767</v>
      </c>
      <c r="F96" s="167" t="s">
        <v>768</v>
      </c>
      <c r="G96" s="168">
        <v>45957</v>
      </c>
      <c r="H96" s="169">
        <v>45960</v>
      </c>
      <c r="I96" s="169" t="s">
        <v>352</v>
      </c>
      <c r="J96" s="169"/>
      <c r="K96" s="200">
        <v>225000</v>
      </c>
      <c r="L96" s="165" t="s">
        <v>253</v>
      </c>
      <c r="M96" s="206" t="s">
        <v>353</v>
      </c>
      <c r="N96" s="146">
        <v>45968</v>
      </c>
      <c r="O96" s="146"/>
      <c r="P96" s="146"/>
      <c r="Q96" s="146">
        <v>45968</v>
      </c>
      <c r="R96" s="146"/>
      <c r="S96" s="146" t="s">
        <v>769</v>
      </c>
      <c r="T96" s="146" t="s">
        <v>770</v>
      </c>
      <c r="U96" s="146" t="s">
        <v>771</v>
      </c>
      <c r="V96" s="146" t="s">
        <v>698</v>
      </c>
      <c r="W96" s="146" t="s">
        <v>772</v>
      </c>
      <c r="X96" s="172"/>
      <c r="Y96" s="155"/>
    </row>
    <row r="97" spans="1:25" ht="27" customHeight="1" x14ac:dyDescent="0.15">
      <c r="A97" s="114">
        <v>2025</v>
      </c>
      <c r="B97" s="114">
        <v>99</v>
      </c>
      <c r="C97" s="114" t="s">
        <v>219</v>
      </c>
      <c r="D97" s="114" t="s">
        <v>773</v>
      </c>
      <c r="E97" s="151" t="s">
        <v>774</v>
      </c>
      <c r="F97" s="151" t="s">
        <v>775</v>
      </c>
      <c r="G97" s="152">
        <v>45992</v>
      </c>
      <c r="H97" s="112">
        <v>46039</v>
      </c>
      <c r="I97" s="112" t="s">
        <v>248</v>
      </c>
      <c r="J97" s="112">
        <v>45930</v>
      </c>
      <c r="K97" s="113">
        <v>630000</v>
      </c>
      <c r="L97" s="114" t="s">
        <v>248</v>
      </c>
      <c r="M97" s="153"/>
      <c r="N97" s="116"/>
      <c r="O97" s="116"/>
      <c r="P97" s="116"/>
      <c r="Q97" s="116"/>
      <c r="R97" s="116"/>
      <c r="S97" s="116"/>
      <c r="T97" s="116"/>
      <c r="U97" s="116"/>
      <c r="V97" s="116"/>
      <c r="W97" s="116"/>
      <c r="X97" s="117"/>
      <c r="Y97" s="155"/>
    </row>
    <row r="98" spans="1:25" ht="27" customHeight="1" x14ac:dyDescent="0.15">
      <c r="A98" s="165">
        <v>2025</v>
      </c>
      <c r="B98" s="165">
        <v>100</v>
      </c>
      <c r="C98" s="165" t="s">
        <v>214</v>
      </c>
      <c r="D98" s="165" t="s">
        <v>776</v>
      </c>
      <c r="E98" s="167" t="s">
        <v>777</v>
      </c>
      <c r="F98" s="167" t="s">
        <v>677</v>
      </c>
      <c r="G98" s="168">
        <v>45940</v>
      </c>
      <c r="H98" s="169">
        <v>45969</v>
      </c>
      <c r="I98" s="169" t="s">
        <v>248</v>
      </c>
      <c r="J98" s="169"/>
      <c r="K98" s="200">
        <v>236000</v>
      </c>
      <c r="L98" s="165" t="s">
        <v>218</v>
      </c>
      <c r="M98" s="171"/>
      <c r="N98" s="146">
        <v>45971</v>
      </c>
      <c r="O98" s="146" t="s">
        <v>197</v>
      </c>
      <c r="P98" s="146"/>
      <c r="Q98" s="146"/>
      <c r="R98" s="146">
        <v>45969</v>
      </c>
      <c r="S98" s="146" t="s">
        <v>677</v>
      </c>
      <c r="T98" s="146" t="s">
        <v>621</v>
      </c>
      <c r="U98" s="146" t="s">
        <v>622</v>
      </c>
      <c r="V98" s="146" t="s">
        <v>778</v>
      </c>
      <c r="W98" s="146" t="s">
        <v>779</v>
      </c>
      <c r="X98" s="172"/>
      <c r="Y98" s="117"/>
    </row>
    <row r="99" spans="1:25" ht="27" customHeight="1" x14ac:dyDescent="0.15">
      <c r="A99" s="114">
        <v>2025</v>
      </c>
      <c r="B99" s="114">
        <v>101</v>
      </c>
      <c r="C99" s="114" t="s">
        <v>211</v>
      </c>
      <c r="D99" s="114" t="s">
        <v>780</v>
      </c>
      <c r="E99" s="151" t="s">
        <v>781</v>
      </c>
      <c r="F99" s="151" t="s">
        <v>782</v>
      </c>
      <c r="G99" s="152">
        <v>45954</v>
      </c>
      <c r="H99" s="112">
        <v>45968</v>
      </c>
      <c r="I99" s="112"/>
      <c r="J99" s="112">
        <v>45954</v>
      </c>
      <c r="K99" s="113">
        <v>21000</v>
      </c>
      <c r="L99" s="114" t="s">
        <v>253</v>
      </c>
      <c r="M99" s="153"/>
      <c r="N99" s="116"/>
      <c r="O99" s="116"/>
      <c r="P99" s="116"/>
      <c r="Q99" s="116"/>
      <c r="R99" s="116"/>
      <c r="S99" s="116"/>
      <c r="T99" s="116"/>
      <c r="U99" s="116"/>
      <c r="V99" s="116"/>
      <c r="W99" s="116"/>
      <c r="X99" s="117"/>
      <c r="Y99" s="172"/>
    </row>
    <row r="100" spans="1:25" ht="27" customHeight="1" x14ac:dyDescent="0.15">
      <c r="A100" s="165">
        <v>2025</v>
      </c>
      <c r="B100" s="165">
        <v>102</v>
      </c>
      <c r="C100" s="165" t="s">
        <v>211</v>
      </c>
      <c r="D100" s="165" t="s">
        <v>783</v>
      </c>
      <c r="E100" s="167" t="s">
        <v>784</v>
      </c>
      <c r="F100" s="167" t="s">
        <v>785</v>
      </c>
      <c r="G100" s="168">
        <v>45960</v>
      </c>
      <c r="H100" s="169">
        <v>45971</v>
      </c>
      <c r="I100" s="169" t="s">
        <v>218</v>
      </c>
      <c r="J100" s="169">
        <v>45958</v>
      </c>
      <c r="K100" s="200">
        <v>420000</v>
      </c>
      <c r="L100" s="165" t="s">
        <v>218</v>
      </c>
      <c r="M100" s="171"/>
      <c r="N100" s="146">
        <v>45989</v>
      </c>
      <c r="O100" s="146"/>
      <c r="P100" s="146"/>
      <c r="Q100" s="146">
        <v>45989</v>
      </c>
      <c r="R100" s="146">
        <v>45973</v>
      </c>
      <c r="S100" s="146" t="s">
        <v>354</v>
      </c>
      <c r="T100" s="146" t="s">
        <v>355</v>
      </c>
      <c r="U100" s="146" t="s">
        <v>356</v>
      </c>
      <c r="V100" s="146" t="s">
        <v>357</v>
      </c>
      <c r="W100" s="146" t="s">
        <v>354</v>
      </c>
      <c r="X100" s="172"/>
      <c r="Y100" s="172"/>
    </row>
    <row r="101" spans="1:25" ht="27" customHeight="1" x14ac:dyDescent="0.15">
      <c r="A101" s="165">
        <v>2025</v>
      </c>
      <c r="B101" s="165">
        <v>103</v>
      </c>
      <c r="C101" s="165" t="s">
        <v>214</v>
      </c>
      <c r="D101" s="165" t="s">
        <v>786</v>
      </c>
      <c r="E101" s="167" t="s">
        <v>787</v>
      </c>
      <c r="F101" s="167" t="s">
        <v>648</v>
      </c>
      <c r="G101" s="168">
        <v>45951</v>
      </c>
      <c r="H101" s="169">
        <v>45951</v>
      </c>
      <c r="I101" s="169" t="s">
        <v>248</v>
      </c>
      <c r="J101" s="169"/>
      <c r="K101" s="200">
        <v>70000</v>
      </c>
      <c r="L101" s="165" t="s">
        <v>218</v>
      </c>
      <c r="M101" s="171"/>
      <c r="N101" s="146">
        <v>45978</v>
      </c>
      <c r="O101" s="146" t="s">
        <v>199</v>
      </c>
      <c r="P101" s="146"/>
      <c r="Q101" s="146">
        <v>45978</v>
      </c>
      <c r="R101" s="146">
        <v>45951</v>
      </c>
      <c r="S101" s="146" t="s">
        <v>649</v>
      </c>
      <c r="T101" s="146" t="s">
        <v>621</v>
      </c>
      <c r="U101" s="146" t="s">
        <v>650</v>
      </c>
      <c r="V101" s="146" t="s">
        <v>474</v>
      </c>
      <c r="W101" s="146" t="s">
        <v>651</v>
      </c>
      <c r="X101" s="172"/>
      <c r="Y101" s="155"/>
    </row>
    <row r="102" spans="1:25" ht="27" customHeight="1" x14ac:dyDescent="0.15">
      <c r="A102" s="165">
        <v>2025</v>
      </c>
      <c r="B102" s="165">
        <v>104</v>
      </c>
      <c r="C102" s="165" t="s">
        <v>214</v>
      </c>
      <c r="D102" s="165" t="s">
        <v>788</v>
      </c>
      <c r="E102" s="167" t="s">
        <v>789</v>
      </c>
      <c r="F102" s="167" t="s">
        <v>677</v>
      </c>
      <c r="G102" s="168">
        <v>45972</v>
      </c>
      <c r="H102" s="169">
        <v>45975</v>
      </c>
      <c r="I102" s="169" t="s">
        <v>248</v>
      </c>
      <c r="J102" s="169"/>
      <c r="K102" s="200">
        <v>750000</v>
      </c>
      <c r="L102" s="165" t="s">
        <v>218</v>
      </c>
      <c r="M102" s="171"/>
      <c r="N102" s="146">
        <v>45978</v>
      </c>
      <c r="O102" s="146" t="s">
        <v>197</v>
      </c>
      <c r="P102" s="146" t="s">
        <v>790</v>
      </c>
      <c r="Q102" s="146">
        <v>45978</v>
      </c>
      <c r="R102" s="146">
        <v>45975</v>
      </c>
      <c r="S102" s="146" t="s">
        <v>677</v>
      </c>
      <c r="T102" s="146" t="s">
        <v>621</v>
      </c>
      <c r="U102" s="146" t="s">
        <v>622</v>
      </c>
      <c r="V102" s="146" t="s">
        <v>778</v>
      </c>
      <c r="W102" s="146" t="s">
        <v>779</v>
      </c>
      <c r="X102" s="172" t="s">
        <v>791</v>
      </c>
      <c r="Y102" s="155"/>
    </row>
    <row r="103" spans="1:25" ht="27" customHeight="1" x14ac:dyDescent="0.15">
      <c r="A103" s="165">
        <v>2025</v>
      </c>
      <c r="B103" s="165">
        <v>105</v>
      </c>
      <c r="C103" s="165" t="s">
        <v>314</v>
      </c>
      <c r="D103" s="165" t="s">
        <v>792</v>
      </c>
      <c r="E103" s="167" t="s">
        <v>793</v>
      </c>
      <c r="F103" s="167" t="s">
        <v>794</v>
      </c>
      <c r="G103" s="168">
        <v>45973</v>
      </c>
      <c r="H103" s="169">
        <v>45983</v>
      </c>
      <c r="I103" s="169" t="s">
        <v>218</v>
      </c>
      <c r="J103" s="169"/>
      <c r="K103" s="215">
        <v>157000</v>
      </c>
      <c r="L103" s="165" t="s">
        <v>218</v>
      </c>
      <c r="M103" s="171"/>
      <c r="N103" s="146">
        <v>45986</v>
      </c>
      <c r="O103" s="146" t="s">
        <v>237</v>
      </c>
      <c r="P103" s="146" t="s">
        <v>795</v>
      </c>
      <c r="Q103" s="146">
        <v>45986</v>
      </c>
      <c r="R103" s="146">
        <v>45983</v>
      </c>
      <c r="S103" s="146" t="s">
        <v>796</v>
      </c>
      <c r="T103" s="146" t="s">
        <v>797</v>
      </c>
      <c r="U103" s="216" t="s">
        <v>798</v>
      </c>
      <c r="V103" s="146"/>
      <c r="W103" s="146" t="s">
        <v>799</v>
      </c>
      <c r="X103" s="172" t="s">
        <v>800</v>
      </c>
      <c r="Y103" s="117"/>
    </row>
    <row r="104" spans="1:25" ht="27" customHeight="1" x14ac:dyDescent="0.15">
      <c r="A104" s="165">
        <v>2025</v>
      </c>
      <c r="B104" s="165">
        <v>106</v>
      </c>
      <c r="C104" s="165" t="s">
        <v>314</v>
      </c>
      <c r="D104" s="165" t="s">
        <v>801</v>
      </c>
      <c r="E104" s="167" t="s">
        <v>802</v>
      </c>
      <c r="F104" s="167" t="s">
        <v>803</v>
      </c>
      <c r="G104" s="168">
        <v>45979</v>
      </c>
      <c r="H104" s="169">
        <v>45979</v>
      </c>
      <c r="I104" s="169" t="s">
        <v>218</v>
      </c>
      <c r="J104" s="169">
        <v>45968</v>
      </c>
      <c r="K104" s="200">
        <v>100000</v>
      </c>
      <c r="L104" s="165" t="s">
        <v>218</v>
      </c>
      <c r="M104" s="171"/>
      <c r="N104" s="146">
        <v>45982</v>
      </c>
      <c r="O104" s="146" t="s">
        <v>197</v>
      </c>
      <c r="P104" s="146"/>
      <c r="Q104" s="146">
        <v>45982</v>
      </c>
      <c r="R104" s="146">
        <v>45979</v>
      </c>
      <c r="S104" s="146" t="s">
        <v>803</v>
      </c>
      <c r="T104" s="146" t="s">
        <v>804</v>
      </c>
      <c r="U104" s="146" t="s">
        <v>805</v>
      </c>
      <c r="V104" s="146"/>
      <c r="W104" s="146" t="s">
        <v>806</v>
      </c>
      <c r="X104" s="172"/>
      <c r="Y104" s="117"/>
    </row>
    <row r="105" spans="1:25" ht="27" customHeight="1" x14ac:dyDescent="0.15">
      <c r="A105" s="165">
        <v>2025</v>
      </c>
      <c r="B105" s="165">
        <v>107</v>
      </c>
      <c r="C105" s="165" t="s">
        <v>375</v>
      </c>
      <c r="D105" s="165" t="s">
        <v>807</v>
      </c>
      <c r="E105" s="167" t="s">
        <v>808</v>
      </c>
      <c r="F105" s="167" t="s">
        <v>809</v>
      </c>
      <c r="G105" s="168">
        <v>45996</v>
      </c>
      <c r="H105" s="169">
        <v>45996</v>
      </c>
      <c r="I105" s="169" t="s">
        <v>248</v>
      </c>
      <c r="J105" s="169">
        <v>45978</v>
      </c>
      <c r="K105" s="200">
        <v>880000</v>
      </c>
      <c r="L105" s="165" t="s">
        <v>218</v>
      </c>
      <c r="M105" s="171"/>
      <c r="N105" s="146">
        <v>46016</v>
      </c>
      <c r="O105" s="146" t="s">
        <v>197</v>
      </c>
      <c r="P105" s="146"/>
      <c r="Q105" s="146">
        <v>46016</v>
      </c>
      <c r="R105" s="146">
        <v>45996</v>
      </c>
      <c r="S105" s="146" t="s">
        <v>810</v>
      </c>
      <c r="T105" s="146" t="s">
        <v>811</v>
      </c>
      <c r="U105" s="146" t="s">
        <v>812</v>
      </c>
      <c r="V105" s="146" t="s">
        <v>813</v>
      </c>
      <c r="W105" s="146" t="s">
        <v>814</v>
      </c>
      <c r="X105" s="172"/>
      <c r="Y105" s="155"/>
    </row>
    <row r="106" spans="1:25" ht="27" customHeight="1" x14ac:dyDescent="0.15">
      <c r="A106" s="165">
        <v>2025</v>
      </c>
      <c r="B106" s="165">
        <v>108</v>
      </c>
      <c r="C106" s="165" t="s">
        <v>214</v>
      </c>
      <c r="D106" s="165" t="s">
        <v>815</v>
      </c>
      <c r="E106" s="167" t="s">
        <v>816</v>
      </c>
      <c r="F106" s="167" t="s">
        <v>677</v>
      </c>
      <c r="G106" s="168">
        <v>45984</v>
      </c>
      <c r="H106" s="169">
        <v>45984</v>
      </c>
      <c r="I106" s="169" t="s">
        <v>248</v>
      </c>
      <c r="J106" s="169"/>
      <c r="K106" s="200">
        <v>65000</v>
      </c>
      <c r="L106" s="165" t="s">
        <v>218</v>
      </c>
      <c r="M106" s="171"/>
      <c r="N106" s="146">
        <v>45981</v>
      </c>
      <c r="O106" s="146" t="s">
        <v>197</v>
      </c>
      <c r="P106" s="146" t="s">
        <v>273</v>
      </c>
      <c r="Q106" s="146"/>
      <c r="R106" s="146">
        <v>45984</v>
      </c>
      <c r="S106" s="146" t="s">
        <v>677</v>
      </c>
      <c r="T106" s="146" t="s">
        <v>621</v>
      </c>
      <c r="U106" s="146" t="s">
        <v>622</v>
      </c>
      <c r="V106" s="146" t="s">
        <v>778</v>
      </c>
      <c r="W106" s="146" t="s">
        <v>779</v>
      </c>
      <c r="X106" s="172"/>
      <c r="Y106" s="155"/>
    </row>
    <row r="107" spans="1:25" ht="27" customHeight="1" x14ac:dyDescent="0.15">
      <c r="A107" s="165">
        <v>2025</v>
      </c>
      <c r="B107" s="165">
        <v>109</v>
      </c>
      <c r="C107" s="165" t="s">
        <v>375</v>
      </c>
      <c r="D107" s="165" t="s">
        <v>817</v>
      </c>
      <c r="E107" s="167" t="s">
        <v>818</v>
      </c>
      <c r="F107" s="167" t="s">
        <v>819</v>
      </c>
      <c r="G107" s="168">
        <v>46035</v>
      </c>
      <c r="H107" s="169">
        <v>46091</v>
      </c>
      <c r="I107" s="169" t="s">
        <v>248</v>
      </c>
      <c r="J107" s="169"/>
      <c r="K107" s="200">
        <v>21500000</v>
      </c>
      <c r="L107" s="165" t="s">
        <v>352</v>
      </c>
      <c r="M107" s="171"/>
      <c r="N107" s="146">
        <v>46114</v>
      </c>
      <c r="O107" s="212" t="s">
        <v>721</v>
      </c>
      <c r="P107" s="146"/>
      <c r="Q107" s="146">
        <v>46085</v>
      </c>
      <c r="R107" s="146">
        <v>46085</v>
      </c>
      <c r="S107" s="146" t="s">
        <v>332</v>
      </c>
      <c r="T107" s="146" t="s">
        <v>327</v>
      </c>
      <c r="U107" s="146" t="s">
        <v>328</v>
      </c>
      <c r="V107" s="146" t="s">
        <v>329</v>
      </c>
      <c r="W107" s="146" t="s">
        <v>820</v>
      </c>
      <c r="X107" s="132" t="s">
        <v>821</v>
      </c>
      <c r="Y107" s="172"/>
    </row>
    <row r="108" spans="1:25" ht="27" customHeight="1" x14ac:dyDescent="0.15">
      <c r="A108" s="165">
        <v>2025</v>
      </c>
      <c r="B108" s="165">
        <v>110</v>
      </c>
      <c r="C108" s="165" t="s">
        <v>214</v>
      </c>
      <c r="D108" s="165" t="s">
        <v>822</v>
      </c>
      <c r="E108" s="167" t="s">
        <v>823</v>
      </c>
      <c r="F108" s="167" t="s">
        <v>648</v>
      </c>
      <c r="G108" s="168">
        <v>45982</v>
      </c>
      <c r="H108" s="169">
        <v>45982</v>
      </c>
      <c r="I108" s="169" t="s">
        <v>248</v>
      </c>
      <c r="J108" s="169"/>
      <c r="K108" s="200">
        <v>34000</v>
      </c>
      <c r="L108" s="165" t="s">
        <v>218</v>
      </c>
      <c r="M108" s="171"/>
      <c r="N108" s="146">
        <v>45988</v>
      </c>
      <c r="O108" s="146" t="s">
        <v>199</v>
      </c>
      <c r="P108" s="146"/>
      <c r="Q108" s="146"/>
      <c r="R108" s="146"/>
      <c r="S108" s="146" t="s">
        <v>648</v>
      </c>
      <c r="T108" s="146"/>
      <c r="U108" s="146"/>
      <c r="V108" s="146"/>
      <c r="W108" s="146" t="s">
        <v>824</v>
      </c>
      <c r="X108" s="172" t="s">
        <v>825</v>
      </c>
      <c r="Y108" s="155"/>
    </row>
    <row r="109" spans="1:25" ht="27" customHeight="1" x14ac:dyDescent="0.15">
      <c r="A109" s="114">
        <v>2025</v>
      </c>
      <c r="B109" s="114">
        <v>111</v>
      </c>
      <c r="C109" s="114" t="s">
        <v>375</v>
      </c>
      <c r="D109" s="114" t="s">
        <v>826</v>
      </c>
      <c r="E109" s="151" t="s">
        <v>827</v>
      </c>
      <c r="F109" s="151" t="s">
        <v>828</v>
      </c>
      <c r="G109" s="152">
        <v>46091</v>
      </c>
      <c r="H109" s="112">
        <v>46173</v>
      </c>
      <c r="I109" s="112" t="s">
        <v>352</v>
      </c>
      <c r="J109" s="112">
        <v>46063</v>
      </c>
      <c r="K109" s="113">
        <v>34000000</v>
      </c>
      <c r="L109" s="114" t="s">
        <v>352</v>
      </c>
      <c r="M109" s="153"/>
      <c r="N109" s="116"/>
      <c r="O109" s="116"/>
      <c r="P109" s="116"/>
      <c r="Q109" s="116"/>
      <c r="R109" s="116"/>
      <c r="S109" s="116"/>
      <c r="T109" s="116"/>
      <c r="U109" s="116"/>
      <c r="V109" s="116"/>
      <c r="W109" s="116"/>
      <c r="X109" s="117"/>
      <c r="Y109" s="172"/>
    </row>
    <row r="110" spans="1:25" ht="27" customHeight="1" x14ac:dyDescent="0.15">
      <c r="A110" s="114">
        <v>2025</v>
      </c>
      <c r="B110" s="114">
        <v>112</v>
      </c>
      <c r="C110" s="114" t="s">
        <v>572</v>
      </c>
      <c r="D110" s="114" t="s">
        <v>829</v>
      </c>
      <c r="E110" s="151" t="s">
        <v>830</v>
      </c>
      <c r="F110" s="151" t="s">
        <v>831</v>
      </c>
      <c r="G110" s="152">
        <v>45993</v>
      </c>
      <c r="H110" s="112">
        <v>46013</v>
      </c>
      <c r="I110" s="112" t="s">
        <v>218</v>
      </c>
      <c r="J110" s="112"/>
      <c r="K110" s="113">
        <v>2787000</v>
      </c>
      <c r="L110" s="114" t="s">
        <v>218</v>
      </c>
      <c r="M110" s="153"/>
      <c r="N110" s="116"/>
      <c r="O110" s="116"/>
      <c r="P110" s="116"/>
      <c r="Q110" s="116"/>
      <c r="R110" s="116"/>
      <c r="S110" s="116"/>
      <c r="T110" s="116"/>
      <c r="U110" s="116"/>
      <c r="V110" s="116"/>
      <c r="W110" s="116"/>
      <c r="X110" s="117"/>
      <c r="Y110" s="162"/>
    </row>
    <row r="111" spans="1:25" ht="27" customHeight="1" x14ac:dyDescent="0.15">
      <c r="A111" s="114">
        <v>2025</v>
      </c>
      <c r="B111" s="114">
        <v>113</v>
      </c>
      <c r="C111" s="114" t="s">
        <v>572</v>
      </c>
      <c r="D111" s="114" t="s">
        <v>832</v>
      </c>
      <c r="E111" s="151" t="s">
        <v>833</v>
      </c>
      <c r="F111" s="151" t="s">
        <v>834</v>
      </c>
      <c r="G111" s="152">
        <v>45996</v>
      </c>
      <c r="H111" s="112">
        <v>45997</v>
      </c>
      <c r="I111" s="112" t="s">
        <v>248</v>
      </c>
      <c r="J111" s="112"/>
      <c r="K111" s="113">
        <v>360000</v>
      </c>
      <c r="L111" s="114" t="s">
        <v>218</v>
      </c>
      <c r="M111" s="153"/>
      <c r="N111" s="116"/>
      <c r="O111" s="116"/>
      <c r="P111" s="116"/>
      <c r="Q111" s="116"/>
      <c r="R111" s="116"/>
      <c r="S111" s="116"/>
      <c r="T111" s="116"/>
      <c r="U111" s="116"/>
      <c r="V111" s="116"/>
      <c r="W111" s="116"/>
      <c r="X111" s="117"/>
      <c r="Y111" s="192"/>
    </row>
    <row r="112" spans="1:25" ht="27" customHeight="1" x14ac:dyDescent="0.15">
      <c r="A112" s="114">
        <v>2025</v>
      </c>
      <c r="B112" s="114">
        <v>114</v>
      </c>
      <c r="C112" s="114" t="s">
        <v>572</v>
      </c>
      <c r="D112" s="114" t="s">
        <v>835</v>
      </c>
      <c r="E112" s="151" t="s">
        <v>836</v>
      </c>
      <c r="F112" s="151" t="s">
        <v>831</v>
      </c>
      <c r="G112" s="152"/>
      <c r="H112" s="112"/>
      <c r="I112" s="112" t="s">
        <v>218</v>
      </c>
      <c r="J112" s="112"/>
      <c r="K112" s="113">
        <v>350000</v>
      </c>
      <c r="L112" s="114" t="s">
        <v>218</v>
      </c>
      <c r="M112" s="153"/>
      <c r="N112" s="116"/>
      <c r="O112" s="116"/>
      <c r="P112" s="116"/>
      <c r="Q112" s="116"/>
      <c r="R112" s="116"/>
      <c r="S112" s="116"/>
      <c r="T112" s="116"/>
      <c r="U112" s="116"/>
      <c r="V112" s="116"/>
      <c r="W112" s="116"/>
      <c r="X112" s="117"/>
      <c r="Y112" s="162"/>
    </row>
    <row r="113" spans="1:25" ht="27" customHeight="1" x14ac:dyDescent="0.15">
      <c r="A113" s="165">
        <v>2025</v>
      </c>
      <c r="B113" s="165">
        <v>115</v>
      </c>
      <c r="C113" s="165" t="s">
        <v>211</v>
      </c>
      <c r="D113" s="165" t="s">
        <v>837</v>
      </c>
      <c r="E113" s="167" t="s">
        <v>838</v>
      </c>
      <c r="F113" s="167" t="s">
        <v>354</v>
      </c>
      <c r="G113" s="168">
        <v>45992</v>
      </c>
      <c r="H113" s="169">
        <v>45993</v>
      </c>
      <c r="I113" s="169" t="s">
        <v>218</v>
      </c>
      <c r="J113" s="169">
        <v>45986</v>
      </c>
      <c r="K113" s="200">
        <v>238000</v>
      </c>
      <c r="L113" s="165" t="s">
        <v>218</v>
      </c>
      <c r="M113" s="171"/>
      <c r="N113" s="146">
        <v>46036</v>
      </c>
      <c r="O113" s="146"/>
      <c r="P113" s="146"/>
      <c r="Q113" s="146">
        <v>46036</v>
      </c>
      <c r="R113" s="146">
        <v>45993</v>
      </c>
      <c r="S113" s="146" t="s">
        <v>354</v>
      </c>
      <c r="T113" s="146" t="s">
        <v>355</v>
      </c>
      <c r="U113" s="146" t="s">
        <v>356</v>
      </c>
      <c r="V113" s="146" t="s">
        <v>357</v>
      </c>
      <c r="W113" s="146" t="s">
        <v>354</v>
      </c>
      <c r="X113" s="172"/>
      <c r="Y113" s="172"/>
    </row>
    <row r="114" spans="1:25" ht="27" customHeight="1" x14ac:dyDescent="0.15">
      <c r="A114" s="165">
        <v>2025</v>
      </c>
      <c r="B114" s="165">
        <v>116</v>
      </c>
      <c r="C114" s="165" t="s">
        <v>214</v>
      </c>
      <c r="D114" s="165" t="s">
        <v>839</v>
      </c>
      <c r="E114" s="167" t="s">
        <v>840</v>
      </c>
      <c r="F114" s="167" t="s">
        <v>597</v>
      </c>
      <c r="G114" s="168">
        <v>45987</v>
      </c>
      <c r="H114" s="169">
        <v>45992</v>
      </c>
      <c r="I114" s="169" t="s">
        <v>248</v>
      </c>
      <c r="J114" s="169"/>
      <c r="K114" s="200">
        <v>35000</v>
      </c>
      <c r="L114" s="165" t="s">
        <v>218</v>
      </c>
      <c r="M114" s="171"/>
      <c r="N114" s="146">
        <v>45993</v>
      </c>
      <c r="O114" s="146" t="s">
        <v>197</v>
      </c>
      <c r="P114" s="146" t="s">
        <v>273</v>
      </c>
      <c r="Q114" s="146"/>
      <c r="R114" s="146">
        <v>45992</v>
      </c>
      <c r="S114" s="146" t="s">
        <v>841</v>
      </c>
      <c r="T114" s="146" t="s">
        <v>842</v>
      </c>
      <c r="U114" s="146" t="s">
        <v>843</v>
      </c>
      <c r="V114" s="146" t="s">
        <v>474</v>
      </c>
      <c r="W114" s="146" t="s">
        <v>844</v>
      </c>
      <c r="X114" s="172"/>
      <c r="Y114" s="155"/>
    </row>
    <row r="115" spans="1:25" ht="27" customHeight="1" x14ac:dyDescent="0.15">
      <c r="A115" s="184">
        <v>2025</v>
      </c>
      <c r="B115" s="184">
        <v>117</v>
      </c>
      <c r="C115" s="184" t="s">
        <v>209</v>
      </c>
      <c r="D115" s="184" t="s">
        <v>845</v>
      </c>
      <c r="E115" s="186" t="s">
        <v>846</v>
      </c>
      <c r="F115" s="186" t="s">
        <v>347</v>
      </c>
      <c r="G115" s="187">
        <v>46001</v>
      </c>
      <c r="H115" s="188">
        <v>46063</v>
      </c>
      <c r="I115" s="188" t="s">
        <v>248</v>
      </c>
      <c r="J115" s="188">
        <v>45999</v>
      </c>
      <c r="K115" s="189">
        <v>550000</v>
      </c>
      <c r="L115" s="184" t="s">
        <v>555</v>
      </c>
      <c r="M115" s="190"/>
      <c r="N115" s="142" t="s">
        <v>556</v>
      </c>
      <c r="O115" s="142"/>
      <c r="P115" s="142"/>
      <c r="Q115" s="142"/>
      <c r="R115" s="142"/>
      <c r="S115" s="142"/>
      <c r="T115" s="142"/>
      <c r="U115" s="142"/>
      <c r="V115" s="142"/>
      <c r="W115" s="142"/>
      <c r="X115" s="155"/>
      <c r="Y115" s="155"/>
    </row>
    <row r="116" spans="1:25" ht="27" customHeight="1" x14ac:dyDescent="0.15">
      <c r="A116" s="114">
        <v>2025</v>
      </c>
      <c r="B116" s="114">
        <v>118</v>
      </c>
      <c r="C116" s="114" t="s">
        <v>847</v>
      </c>
      <c r="D116" s="114" t="s">
        <v>848</v>
      </c>
      <c r="E116" s="151" t="s">
        <v>849</v>
      </c>
      <c r="F116" s="151" t="s">
        <v>850</v>
      </c>
      <c r="G116" s="152">
        <v>46006</v>
      </c>
      <c r="H116" s="112">
        <v>46018</v>
      </c>
      <c r="I116" s="112" t="s">
        <v>248</v>
      </c>
      <c r="J116" s="112">
        <v>46001</v>
      </c>
      <c r="K116" s="113">
        <v>230000</v>
      </c>
      <c r="L116" s="114" t="s">
        <v>218</v>
      </c>
      <c r="M116" s="153"/>
      <c r="N116" s="116"/>
      <c r="O116" s="116"/>
      <c r="P116" s="116"/>
      <c r="Q116" s="116"/>
      <c r="R116" s="116"/>
      <c r="S116" s="116"/>
      <c r="T116" s="116"/>
      <c r="U116" s="116"/>
      <c r="V116" s="116"/>
      <c r="W116" s="116"/>
      <c r="X116" s="117"/>
      <c r="Y116" s="155"/>
    </row>
    <row r="117" spans="1:25" ht="27" customHeight="1" x14ac:dyDescent="0.15">
      <c r="A117" s="184">
        <v>2025</v>
      </c>
      <c r="B117" s="184">
        <v>119</v>
      </c>
      <c r="C117" s="184" t="s">
        <v>209</v>
      </c>
      <c r="D117" s="184" t="s">
        <v>851</v>
      </c>
      <c r="E117" s="217" t="s">
        <v>852</v>
      </c>
      <c r="F117" s="186" t="s">
        <v>347</v>
      </c>
      <c r="G117" s="187">
        <v>46016</v>
      </c>
      <c r="H117" s="188">
        <v>46016</v>
      </c>
      <c r="I117" s="188" t="s">
        <v>248</v>
      </c>
      <c r="J117" s="188">
        <v>46001</v>
      </c>
      <c r="K117" s="189">
        <v>650000</v>
      </c>
      <c r="L117" s="184" t="s">
        <v>554</v>
      </c>
      <c r="M117" s="190"/>
      <c r="N117" s="142" t="s">
        <v>556</v>
      </c>
      <c r="O117" s="142"/>
      <c r="P117" s="142"/>
      <c r="Q117" s="142"/>
      <c r="R117" s="142"/>
      <c r="S117" s="142"/>
      <c r="T117" s="142"/>
      <c r="U117" s="142"/>
      <c r="V117" s="142"/>
      <c r="W117" s="142"/>
      <c r="X117" s="155"/>
      <c r="Y117" s="155"/>
    </row>
    <row r="118" spans="1:25" ht="27" customHeight="1" x14ac:dyDescent="0.15">
      <c r="A118" s="165">
        <v>2025</v>
      </c>
      <c r="B118" s="165">
        <v>120</v>
      </c>
      <c r="C118" s="165" t="s">
        <v>214</v>
      </c>
      <c r="D118" s="165" t="s">
        <v>853</v>
      </c>
      <c r="E118" s="167" t="s">
        <v>854</v>
      </c>
      <c r="F118" s="167" t="s">
        <v>855</v>
      </c>
      <c r="G118" s="168">
        <v>45959</v>
      </c>
      <c r="H118" s="169">
        <v>45959</v>
      </c>
      <c r="I118" s="169" t="s">
        <v>352</v>
      </c>
      <c r="J118" s="169"/>
      <c r="K118" s="200">
        <v>68000</v>
      </c>
      <c r="L118" s="165" t="s">
        <v>253</v>
      </c>
      <c r="M118" s="171"/>
      <c r="N118" s="146">
        <v>46004</v>
      </c>
      <c r="O118" s="146" t="s">
        <v>197</v>
      </c>
      <c r="P118" s="146" t="s">
        <v>273</v>
      </c>
      <c r="Q118" s="146">
        <v>45959</v>
      </c>
      <c r="R118" s="146">
        <v>45959</v>
      </c>
      <c r="S118" s="146" t="s">
        <v>856</v>
      </c>
      <c r="T118" s="146" t="s">
        <v>621</v>
      </c>
      <c r="U118" s="146" t="s">
        <v>857</v>
      </c>
      <c r="V118" s="146" t="s">
        <v>474</v>
      </c>
      <c r="W118" s="146" t="s">
        <v>858</v>
      </c>
      <c r="X118" s="172" t="s">
        <v>590</v>
      </c>
      <c r="Y118" s="172"/>
    </row>
    <row r="119" spans="1:25" ht="27" customHeight="1" x14ac:dyDescent="0.15">
      <c r="A119" s="165">
        <v>2025</v>
      </c>
      <c r="B119" s="165">
        <v>121</v>
      </c>
      <c r="C119" s="165" t="s">
        <v>214</v>
      </c>
      <c r="D119" s="165" t="s">
        <v>859</v>
      </c>
      <c r="E119" s="167" t="s">
        <v>860</v>
      </c>
      <c r="F119" s="167" t="s">
        <v>861</v>
      </c>
      <c r="G119" s="168">
        <v>46008</v>
      </c>
      <c r="H119" s="169">
        <v>46052</v>
      </c>
      <c r="I119" s="169" t="s">
        <v>352</v>
      </c>
      <c r="J119" s="169"/>
      <c r="K119" s="200">
        <v>240000</v>
      </c>
      <c r="L119" s="165" t="s">
        <v>253</v>
      </c>
      <c r="M119" s="171"/>
      <c r="N119" s="146">
        <v>46030</v>
      </c>
      <c r="O119" s="146" t="s">
        <v>197</v>
      </c>
      <c r="P119" s="146" t="s">
        <v>862</v>
      </c>
      <c r="Q119" s="146">
        <v>46030</v>
      </c>
      <c r="R119" s="146">
        <v>46028</v>
      </c>
      <c r="S119" s="146" t="s">
        <v>863</v>
      </c>
      <c r="T119" s="146" t="s">
        <v>864</v>
      </c>
      <c r="U119" s="216" t="s">
        <v>865</v>
      </c>
      <c r="V119" s="146" t="s">
        <v>866</v>
      </c>
      <c r="W119" s="146" t="s">
        <v>867</v>
      </c>
      <c r="X119" s="172" t="s">
        <v>868</v>
      </c>
      <c r="Y119" s="155"/>
    </row>
    <row r="120" spans="1:25" ht="27" customHeight="1" x14ac:dyDescent="0.15">
      <c r="A120" s="184">
        <v>2025</v>
      </c>
      <c r="B120" s="184">
        <v>122</v>
      </c>
      <c r="C120" s="184" t="s">
        <v>209</v>
      </c>
      <c r="D120" s="184" t="s">
        <v>869</v>
      </c>
      <c r="E120" s="186" t="s">
        <v>870</v>
      </c>
      <c r="F120" s="186" t="s">
        <v>871</v>
      </c>
      <c r="G120" s="187">
        <v>46037</v>
      </c>
      <c r="H120" s="188">
        <v>46037</v>
      </c>
      <c r="I120" s="169" t="s">
        <v>218</v>
      </c>
      <c r="J120" s="188"/>
      <c r="K120" s="189">
        <v>140000</v>
      </c>
      <c r="L120" s="184" t="s">
        <v>218</v>
      </c>
      <c r="M120" s="190"/>
      <c r="N120" s="142">
        <v>46043</v>
      </c>
      <c r="O120" s="142"/>
      <c r="P120" s="142"/>
      <c r="Q120" s="142">
        <v>46043</v>
      </c>
      <c r="R120" s="142">
        <v>46043</v>
      </c>
      <c r="S120" s="142" t="s">
        <v>872</v>
      </c>
      <c r="T120" s="142" t="s">
        <v>873</v>
      </c>
      <c r="U120" s="142" t="s">
        <v>874</v>
      </c>
      <c r="V120" s="142" t="s">
        <v>875</v>
      </c>
      <c r="W120" s="142"/>
      <c r="X120" s="155" t="s">
        <v>876</v>
      </c>
      <c r="Y120" s="172"/>
    </row>
    <row r="121" spans="1:25" ht="27" customHeight="1" x14ac:dyDescent="0.15">
      <c r="A121" s="165">
        <v>2025</v>
      </c>
      <c r="B121" s="165">
        <v>123</v>
      </c>
      <c r="C121" s="165" t="s">
        <v>214</v>
      </c>
      <c r="D121" s="165" t="s">
        <v>877</v>
      </c>
      <c r="E121" s="167" t="s">
        <v>878</v>
      </c>
      <c r="F121" s="167" t="s">
        <v>879</v>
      </c>
      <c r="G121" s="168">
        <v>45981</v>
      </c>
      <c r="H121" s="169">
        <v>45981</v>
      </c>
      <c r="I121" s="169" t="s">
        <v>248</v>
      </c>
      <c r="J121" s="169"/>
      <c r="K121" s="200">
        <v>85400</v>
      </c>
      <c r="L121" s="165" t="s">
        <v>218</v>
      </c>
      <c r="M121" s="171"/>
      <c r="N121" s="146">
        <v>46017</v>
      </c>
      <c r="O121" s="146"/>
      <c r="P121" s="146"/>
      <c r="Q121" s="146"/>
      <c r="R121" s="146"/>
      <c r="S121" s="146" t="s">
        <v>856</v>
      </c>
      <c r="T121" s="146" t="s">
        <v>621</v>
      </c>
      <c r="U121" s="146" t="s">
        <v>857</v>
      </c>
      <c r="V121" s="146" t="s">
        <v>474</v>
      </c>
      <c r="W121" s="146" t="s">
        <v>858</v>
      </c>
      <c r="X121" s="172"/>
      <c r="Y121" s="155"/>
    </row>
    <row r="122" spans="1:25" ht="27" customHeight="1" x14ac:dyDescent="0.15">
      <c r="A122" s="165">
        <v>2025</v>
      </c>
      <c r="B122" s="165">
        <v>124</v>
      </c>
      <c r="C122" s="165" t="s">
        <v>214</v>
      </c>
      <c r="D122" s="165" t="s">
        <v>880</v>
      </c>
      <c r="E122" s="167" t="s">
        <v>881</v>
      </c>
      <c r="F122" s="167" t="s">
        <v>882</v>
      </c>
      <c r="G122" s="168">
        <v>46029</v>
      </c>
      <c r="H122" s="169">
        <v>46029</v>
      </c>
      <c r="I122" s="169" t="s">
        <v>248</v>
      </c>
      <c r="J122" s="169">
        <v>46028</v>
      </c>
      <c r="K122" s="200">
        <v>35000</v>
      </c>
      <c r="L122" s="165" t="s">
        <v>218</v>
      </c>
      <c r="M122" s="171"/>
      <c r="N122" s="146">
        <v>46034</v>
      </c>
      <c r="O122" s="146" t="s">
        <v>197</v>
      </c>
      <c r="P122" s="146" t="s">
        <v>273</v>
      </c>
      <c r="Q122" s="146">
        <v>46034</v>
      </c>
      <c r="R122" s="146">
        <v>46029</v>
      </c>
      <c r="S122" s="146" t="s">
        <v>841</v>
      </c>
      <c r="T122" s="146" t="s">
        <v>842</v>
      </c>
      <c r="U122" s="146" t="s">
        <v>883</v>
      </c>
      <c r="V122" s="146" t="s">
        <v>474</v>
      </c>
      <c r="W122" s="146" t="s">
        <v>884</v>
      </c>
      <c r="X122" s="172" t="s">
        <v>590</v>
      </c>
      <c r="Y122" s="155"/>
    </row>
    <row r="123" spans="1:25" ht="27" customHeight="1" x14ac:dyDescent="0.15">
      <c r="A123" s="165">
        <v>2025</v>
      </c>
      <c r="B123" s="165">
        <v>125</v>
      </c>
      <c r="C123" s="165" t="s">
        <v>214</v>
      </c>
      <c r="D123" s="165" t="s">
        <v>885</v>
      </c>
      <c r="E123" s="167" t="s">
        <v>886</v>
      </c>
      <c r="F123" s="167" t="s">
        <v>887</v>
      </c>
      <c r="G123" s="168">
        <v>46016</v>
      </c>
      <c r="H123" s="169">
        <v>46016</v>
      </c>
      <c r="I123" s="169" t="s">
        <v>248</v>
      </c>
      <c r="J123" s="169">
        <v>46036</v>
      </c>
      <c r="K123" s="200">
        <v>50000</v>
      </c>
      <c r="L123" s="165" t="s">
        <v>218</v>
      </c>
      <c r="M123" s="171"/>
      <c r="N123" s="146">
        <v>46034</v>
      </c>
      <c r="O123" s="146" t="s">
        <v>197</v>
      </c>
      <c r="P123" s="146" t="s">
        <v>273</v>
      </c>
      <c r="Q123" s="146">
        <v>46036</v>
      </c>
      <c r="R123" s="146">
        <v>46016</v>
      </c>
      <c r="S123" s="146" t="s">
        <v>856</v>
      </c>
      <c r="T123" s="146" t="s">
        <v>621</v>
      </c>
      <c r="U123" s="146" t="s">
        <v>857</v>
      </c>
      <c r="V123" s="146" t="s">
        <v>474</v>
      </c>
      <c r="W123" s="146" t="s">
        <v>858</v>
      </c>
      <c r="X123" s="132" t="s">
        <v>888</v>
      </c>
      <c r="Y123" s="117"/>
    </row>
    <row r="124" spans="1:25" ht="27" customHeight="1" x14ac:dyDescent="0.15">
      <c r="A124" s="114">
        <v>2025</v>
      </c>
      <c r="B124" s="114">
        <v>126</v>
      </c>
      <c r="C124" s="114" t="s">
        <v>314</v>
      </c>
      <c r="D124" s="114" t="s">
        <v>889</v>
      </c>
      <c r="E124" s="151" t="s">
        <v>890</v>
      </c>
      <c r="F124" s="151" t="s">
        <v>891</v>
      </c>
      <c r="G124" s="152">
        <v>46045</v>
      </c>
      <c r="H124" s="112">
        <v>46446</v>
      </c>
      <c r="I124" s="112" t="s">
        <v>352</v>
      </c>
      <c r="J124" s="112">
        <v>46044</v>
      </c>
      <c r="K124" s="113">
        <v>472780000</v>
      </c>
      <c r="L124" s="114" t="s">
        <v>352</v>
      </c>
      <c r="M124" s="183" t="s">
        <v>348</v>
      </c>
      <c r="N124" s="152"/>
      <c r="O124" s="152"/>
      <c r="P124" s="152"/>
      <c r="Q124" s="152"/>
      <c r="R124" s="152"/>
      <c r="S124" s="152"/>
      <c r="T124" s="152"/>
      <c r="U124" s="152"/>
      <c r="V124" s="152"/>
      <c r="W124" s="152"/>
      <c r="X124" s="162"/>
      <c r="Y124" s="117"/>
    </row>
    <row r="125" spans="1:25" ht="27" customHeight="1" x14ac:dyDescent="0.15">
      <c r="A125" s="114">
        <v>2025</v>
      </c>
      <c r="B125" s="114">
        <v>127</v>
      </c>
      <c r="C125" s="114" t="s">
        <v>892</v>
      </c>
      <c r="D125" s="114" t="s">
        <v>893</v>
      </c>
      <c r="E125" s="151" t="s">
        <v>894</v>
      </c>
      <c r="F125" s="151" t="s">
        <v>895</v>
      </c>
      <c r="G125" s="152">
        <v>46050</v>
      </c>
      <c r="H125" s="112">
        <v>46073</v>
      </c>
      <c r="I125" s="112" t="s">
        <v>248</v>
      </c>
      <c r="J125" s="112" t="s">
        <v>896</v>
      </c>
      <c r="K125" s="113">
        <v>7128000</v>
      </c>
      <c r="L125" s="114" t="s">
        <v>559</v>
      </c>
      <c r="M125" s="153"/>
      <c r="N125" s="152"/>
      <c r="O125" s="152"/>
      <c r="P125" s="152"/>
      <c r="Q125" s="152"/>
      <c r="R125" s="152"/>
      <c r="S125" s="152"/>
      <c r="T125" s="152"/>
      <c r="U125" s="152"/>
      <c r="V125" s="152"/>
      <c r="W125" s="152"/>
      <c r="X125" s="162"/>
      <c r="Y125" s="155"/>
    </row>
    <row r="126" spans="1:25" ht="27" customHeight="1" x14ac:dyDescent="0.15">
      <c r="A126" s="218">
        <v>2025</v>
      </c>
      <c r="B126" s="218">
        <v>128</v>
      </c>
      <c r="C126" s="218"/>
      <c r="D126" s="218"/>
      <c r="E126" s="219" t="s">
        <v>897</v>
      </c>
      <c r="F126" s="219"/>
      <c r="G126" s="220"/>
      <c r="H126" s="221"/>
      <c r="I126" s="221"/>
      <c r="J126" s="221"/>
      <c r="K126" s="222"/>
      <c r="L126" s="218"/>
      <c r="M126" s="223"/>
      <c r="N126" s="220"/>
      <c r="O126" s="220"/>
      <c r="P126" s="220"/>
      <c r="Q126" s="220"/>
      <c r="R126" s="220"/>
      <c r="S126" s="220"/>
      <c r="T126" s="220"/>
      <c r="U126" s="220"/>
      <c r="V126" s="220"/>
      <c r="W126" s="220"/>
      <c r="X126" s="224"/>
      <c r="Y126" s="117"/>
    </row>
    <row r="127" spans="1:25" ht="27" customHeight="1" x14ac:dyDescent="0.15">
      <c r="A127" s="165">
        <v>2025</v>
      </c>
      <c r="B127" s="165">
        <v>129</v>
      </c>
      <c r="C127" s="165" t="s">
        <v>214</v>
      </c>
      <c r="D127" s="165" t="s">
        <v>898</v>
      </c>
      <c r="E127" s="167" t="s">
        <v>899</v>
      </c>
      <c r="F127" s="167" t="s">
        <v>900</v>
      </c>
      <c r="G127" s="168">
        <v>46031</v>
      </c>
      <c r="H127" s="169">
        <v>46031</v>
      </c>
      <c r="I127" s="169" t="s">
        <v>248</v>
      </c>
      <c r="J127" s="169"/>
      <c r="K127" s="200">
        <v>60000</v>
      </c>
      <c r="L127" s="165" t="s">
        <v>218</v>
      </c>
      <c r="M127" s="171" t="s">
        <v>901</v>
      </c>
      <c r="N127" s="168">
        <v>46045</v>
      </c>
      <c r="O127" s="168" t="s">
        <v>237</v>
      </c>
      <c r="P127" s="168" t="s">
        <v>321</v>
      </c>
      <c r="Q127" s="168">
        <v>46045</v>
      </c>
      <c r="R127" s="168">
        <v>46031</v>
      </c>
      <c r="S127" s="168" t="s">
        <v>678</v>
      </c>
      <c r="T127" s="168" t="s">
        <v>297</v>
      </c>
      <c r="U127" s="168" t="s">
        <v>679</v>
      </c>
      <c r="V127" s="168" t="s">
        <v>902</v>
      </c>
      <c r="W127" s="168" t="s">
        <v>681</v>
      </c>
      <c r="X127" s="192"/>
      <c r="Y127" s="117"/>
    </row>
    <row r="128" spans="1:25" ht="27" customHeight="1" x14ac:dyDescent="0.15">
      <c r="A128" s="165">
        <v>2025</v>
      </c>
      <c r="B128" s="165">
        <v>130</v>
      </c>
      <c r="C128" s="165" t="s">
        <v>211</v>
      </c>
      <c r="D128" s="165" t="s">
        <v>903</v>
      </c>
      <c r="E128" s="167" t="s">
        <v>904</v>
      </c>
      <c r="F128" s="167" t="s">
        <v>905</v>
      </c>
      <c r="G128" s="168">
        <v>46013</v>
      </c>
      <c r="H128" s="169">
        <v>46038</v>
      </c>
      <c r="I128" s="169" t="s">
        <v>253</v>
      </c>
      <c r="J128" s="169"/>
      <c r="K128" s="200">
        <v>123000</v>
      </c>
      <c r="L128" s="165" t="s">
        <v>218</v>
      </c>
      <c r="M128" s="171"/>
      <c r="N128" s="168">
        <v>46065</v>
      </c>
      <c r="O128" s="168"/>
      <c r="P128" s="168"/>
      <c r="Q128" s="168"/>
      <c r="R128" s="168"/>
      <c r="S128" s="168" t="s">
        <v>354</v>
      </c>
      <c r="T128" s="168" t="s">
        <v>355</v>
      </c>
      <c r="U128" s="168" t="s">
        <v>356</v>
      </c>
      <c r="V128" s="168" t="s">
        <v>357</v>
      </c>
      <c r="W128" s="168" t="s">
        <v>354</v>
      </c>
      <c r="X128" s="192"/>
      <c r="Y128" s="172"/>
    </row>
    <row r="129" spans="1:25" ht="27" customHeight="1" x14ac:dyDescent="0.15">
      <c r="A129" s="165">
        <v>2023</v>
      </c>
      <c r="B129" s="165">
        <v>131</v>
      </c>
      <c r="C129" s="165" t="s">
        <v>375</v>
      </c>
      <c r="D129" s="165" t="s">
        <v>906</v>
      </c>
      <c r="E129" s="167" t="s">
        <v>907</v>
      </c>
      <c r="F129" s="167" t="s">
        <v>908</v>
      </c>
      <c r="G129" s="168">
        <v>46017</v>
      </c>
      <c r="H129" s="169">
        <v>46021</v>
      </c>
      <c r="I129" s="169" t="s">
        <v>253</v>
      </c>
      <c r="J129" s="169"/>
      <c r="K129" s="200">
        <v>364400</v>
      </c>
      <c r="L129" s="165" t="s">
        <v>218</v>
      </c>
      <c r="M129" s="171" t="s">
        <v>909</v>
      </c>
      <c r="N129" s="168">
        <v>46049</v>
      </c>
      <c r="O129" s="168" t="s">
        <v>910</v>
      </c>
      <c r="P129" s="168" t="s">
        <v>384</v>
      </c>
      <c r="Q129" s="168">
        <v>46049</v>
      </c>
      <c r="R129" s="168">
        <v>46021</v>
      </c>
      <c r="S129" s="168" t="s">
        <v>326</v>
      </c>
      <c r="T129" s="168" t="s">
        <v>324</v>
      </c>
      <c r="U129" s="168" t="s">
        <v>911</v>
      </c>
      <c r="V129" s="168" t="s">
        <v>912</v>
      </c>
      <c r="W129" s="168" t="s">
        <v>326</v>
      </c>
      <c r="X129" s="211" t="s">
        <v>913</v>
      </c>
      <c r="Y129" s="117"/>
    </row>
    <row r="130" spans="1:25" ht="27" customHeight="1" x14ac:dyDescent="0.15">
      <c r="A130" s="165">
        <v>2025</v>
      </c>
      <c r="B130" s="165">
        <v>132</v>
      </c>
      <c r="C130" s="165" t="s">
        <v>214</v>
      </c>
      <c r="D130" s="165" t="s">
        <v>914</v>
      </c>
      <c r="E130" s="167" t="s">
        <v>915</v>
      </c>
      <c r="F130" s="167" t="s">
        <v>677</v>
      </c>
      <c r="G130" s="168">
        <v>46036</v>
      </c>
      <c r="H130" s="169">
        <v>46036</v>
      </c>
      <c r="I130" s="169" t="s">
        <v>248</v>
      </c>
      <c r="J130" s="169">
        <v>46036</v>
      </c>
      <c r="K130" s="200">
        <v>90000</v>
      </c>
      <c r="L130" s="165" t="s">
        <v>218</v>
      </c>
      <c r="M130" s="171"/>
      <c r="N130" s="168">
        <v>46049</v>
      </c>
      <c r="O130" s="168" t="s">
        <v>197</v>
      </c>
      <c r="P130" s="168" t="s">
        <v>273</v>
      </c>
      <c r="Q130" s="168">
        <v>46049</v>
      </c>
      <c r="R130" s="168">
        <v>46036</v>
      </c>
      <c r="S130" s="168" t="s">
        <v>677</v>
      </c>
      <c r="T130" s="168" t="s">
        <v>621</v>
      </c>
      <c r="U130" s="168" t="s">
        <v>622</v>
      </c>
      <c r="V130" s="168" t="s">
        <v>778</v>
      </c>
      <c r="W130" s="168" t="s">
        <v>624</v>
      </c>
      <c r="X130" s="192"/>
      <c r="Y130" s="172"/>
    </row>
    <row r="131" spans="1:25" ht="27" customHeight="1" x14ac:dyDescent="0.15">
      <c r="A131" s="114">
        <v>2025</v>
      </c>
      <c r="B131" s="114">
        <v>133</v>
      </c>
      <c r="C131" s="114" t="s">
        <v>572</v>
      </c>
      <c r="D131" s="114" t="s">
        <v>916</v>
      </c>
      <c r="E131" s="151" t="s">
        <v>917</v>
      </c>
      <c r="F131" s="151" t="s">
        <v>831</v>
      </c>
      <c r="G131" s="152">
        <v>46069</v>
      </c>
      <c r="H131" s="112">
        <v>46092</v>
      </c>
      <c r="I131" s="112" t="s">
        <v>352</v>
      </c>
      <c r="J131" s="112"/>
      <c r="K131" s="113">
        <v>2000000</v>
      </c>
      <c r="L131" s="114" t="s">
        <v>218</v>
      </c>
      <c r="M131" s="153"/>
      <c r="N131" s="152"/>
      <c r="O131" s="152"/>
      <c r="P131" s="152"/>
      <c r="Q131" s="152"/>
      <c r="R131" s="152"/>
      <c r="S131" s="152"/>
      <c r="T131" s="152"/>
      <c r="U131" s="152"/>
      <c r="V131" s="152"/>
      <c r="W131" s="152"/>
      <c r="X131" s="162"/>
      <c r="Y131" s="162"/>
    </row>
    <row r="132" spans="1:25" ht="27" customHeight="1" x14ac:dyDescent="0.15">
      <c r="A132" s="165">
        <v>2023</v>
      </c>
      <c r="B132" s="165">
        <v>134</v>
      </c>
      <c r="C132" s="165" t="s">
        <v>375</v>
      </c>
      <c r="D132" s="165" t="s">
        <v>918</v>
      </c>
      <c r="E132" s="167" t="s">
        <v>919</v>
      </c>
      <c r="F132" s="167" t="s">
        <v>920</v>
      </c>
      <c r="G132" s="168">
        <v>46016</v>
      </c>
      <c r="H132" s="169">
        <v>46016</v>
      </c>
      <c r="I132" s="169" t="s">
        <v>253</v>
      </c>
      <c r="J132" s="169"/>
      <c r="K132" s="200">
        <v>44000</v>
      </c>
      <c r="L132" s="165" t="s">
        <v>218</v>
      </c>
      <c r="M132" s="171"/>
      <c r="N132" s="168">
        <v>46051</v>
      </c>
      <c r="O132" s="168" t="s">
        <v>197</v>
      </c>
      <c r="P132" s="168" t="s">
        <v>384</v>
      </c>
      <c r="Q132" s="168">
        <v>46051</v>
      </c>
      <c r="R132" s="168">
        <v>46016</v>
      </c>
      <c r="S132" s="168" t="s">
        <v>921</v>
      </c>
      <c r="T132" s="168" t="s">
        <v>922</v>
      </c>
      <c r="U132" s="168" t="s">
        <v>923</v>
      </c>
      <c r="V132" s="168" t="s">
        <v>924</v>
      </c>
      <c r="W132" s="168" t="s">
        <v>925</v>
      </c>
      <c r="X132" s="192" t="s">
        <v>926</v>
      </c>
      <c r="Y132" s="122"/>
    </row>
    <row r="133" spans="1:25" ht="27" customHeight="1" x14ac:dyDescent="0.15">
      <c r="A133" s="114">
        <v>2025</v>
      </c>
      <c r="B133" s="114">
        <v>135</v>
      </c>
      <c r="C133" s="114" t="s">
        <v>213</v>
      </c>
      <c r="D133" s="114" t="s">
        <v>927</v>
      </c>
      <c r="E133" s="151" t="s">
        <v>928</v>
      </c>
      <c r="F133" s="151" t="s">
        <v>929</v>
      </c>
      <c r="G133" s="152">
        <v>46052</v>
      </c>
      <c r="H133" s="112">
        <v>46052</v>
      </c>
      <c r="I133" s="112" t="s">
        <v>218</v>
      </c>
      <c r="J133" s="112">
        <v>46051</v>
      </c>
      <c r="K133" s="113">
        <v>220000</v>
      </c>
      <c r="L133" s="114" t="s">
        <v>218</v>
      </c>
      <c r="M133" s="225" t="s">
        <v>930</v>
      </c>
      <c r="N133" s="152"/>
      <c r="O133" s="152"/>
      <c r="P133" s="152"/>
      <c r="Q133" s="152"/>
      <c r="R133" s="152"/>
      <c r="S133" s="152"/>
      <c r="T133" s="152"/>
      <c r="U133" s="152"/>
      <c r="V133" s="152"/>
      <c r="W133" s="152"/>
      <c r="X133" s="162"/>
      <c r="Y133" s="132"/>
    </row>
    <row r="134" spans="1:25" ht="27" customHeight="1" x14ac:dyDescent="0.15">
      <c r="A134" s="114">
        <v>2025</v>
      </c>
      <c r="B134" s="114">
        <v>136</v>
      </c>
      <c r="C134" s="114" t="s">
        <v>219</v>
      </c>
      <c r="D134" s="114" t="s">
        <v>931</v>
      </c>
      <c r="E134" s="151" t="s">
        <v>932</v>
      </c>
      <c r="F134" s="151" t="s">
        <v>933</v>
      </c>
      <c r="G134" s="182" t="s">
        <v>934</v>
      </c>
      <c r="H134" s="226" t="s">
        <v>935</v>
      </c>
      <c r="I134" s="112" t="s">
        <v>248</v>
      </c>
      <c r="J134" s="112" t="s">
        <v>936</v>
      </c>
      <c r="K134" s="113">
        <v>134000000</v>
      </c>
      <c r="L134" s="114" t="s">
        <v>248</v>
      </c>
      <c r="M134" s="227" t="s">
        <v>937</v>
      </c>
      <c r="N134" s="152"/>
      <c r="O134" s="152"/>
      <c r="P134" s="152"/>
      <c r="Q134" s="152"/>
      <c r="R134" s="152"/>
      <c r="S134" s="152"/>
      <c r="T134" s="152"/>
      <c r="U134" s="152"/>
      <c r="V134" s="152"/>
      <c r="W134" s="152"/>
      <c r="X134" s="162"/>
      <c r="Y134" s="117"/>
    </row>
    <row r="135" spans="1:25" ht="27" customHeight="1" x14ac:dyDescent="0.15">
      <c r="A135" s="114">
        <v>2025</v>
      </c>
      <c r="B135" s="114">
        <v>137</v>
      </c>
      <c r="C135" s="114" t="s">
        <v>211</v>
      </c>
      <c r="D135" s="114" t="s">
        <v>938</v>
      </c>
      <c r="E135" s="151" t="s">
        <v>939</v>
      </c>
      <c r="F135" s="151" t="s">
        <v>607</v>
      </c>
      <c r="G135" s="152">
        <v>46055</v>
      </c>
      <c r="H135" s="112">
        <v>46110</v>
      </c>
      <c r="I135" s="112" t="s">
        <v>248</v>
      </c>
      <c r="J135" s="112">
        <v>46051</v>
      </c>
      <c r="K135" s="113">
        <v>2750000</v>
      </c>
      <c r="L135" s="114" t="s">
        <v>554</v>
      </c>
      <c r="M135" s="153"/>
      <c r="N135" s="152"/>
      <c r="O135" s="152"/>
      <c r="P135" s="152"/>
      <c r="Q135" s="152"/>
      <c r="R135" s="152"/>
      <c r="S135" s="152"/>
      <c r="T135" s="152"/>
      <c r="U135" s="152"/>
      <c r="V135" s="152"/>
      <c r="W135" s="152"/>
      <c r="X135" s="162"/>
      <c r="Y135" s="117"/>
    </row>
    <row r="136" spans="1:25" ht="27" customHeight="1" x14ac:dyDescent="0.15">
      <c r="A136" s="165">
        <v>2025</v>
      </c>
      <c r="B136" s="165">
        <v>138</v>
      </c>
      <c r="C136" s="165" t="s">
        <v>566</v>
      </c>
      <c r="D136" s="165" t="s">
        <v>940</v>
      </c>
      <c r="E136" s="167" t="s">
        <v>941</v>
      </c>
      <c r="F136" s="167" t="s">
        <v>568</v>
      </c>
      <c r="G136" s="168">
        <v>46064</v>
      </c>
      <c r="H136" s="169">
        <v>46064</v>
      </c>
      <c r="I136" s="169" t="s">
        <v>352</v>
      </c>
      <c r="J136" s="169">
        <v>46057</v>
      </c>
      <c r="K136" s="200">
        <v>710000</v>
      </c>
      <c r="L136" s="165" t="s">
        <v>253</v>
      </c>
      <c r="M136" s="171"/>
      <c r="N136" s="168">
        <v>46064</v>
      </c>
      <c r="O136" s="168" t="s">
        <v>237</v>
      </c>
      <c r="P136" s="168"/>
      <c r="Q136" s="168">
        <v>46086</v>
      </c>
      <c r="R136" s="168">
        <v>46064</v>
      </c>
      <c r="S136" s="168" t="s">
        <v>1104</v>
      </c>
      <c r="T136" s="168" t="s">
        <v>1066</v>
      </c>
      <c r="U136" s="168" t="s">
        <v>1067</v>
      </c>
      <c r="V136" s="168" t="s">
        <v>342</v>
      </c>
      <c r="W136" s="168" t="s">
        <v>1068</v>
      </c>
      <c r="X136" s="192"/>
      <c r="Y136" s="192"/>
    </row>
    <row r="137" spans="1:25" ht="27" customHeight="1" x14ac:dyDescent="0.15">
      <c r="A137" s="165">
        <v>2025</v>
      </c>
      <c r="B137" s="165">
        <v>139</v>
      </c>
      <c r="C137" s="165" t="s">
        <v>214</v>
      </c>
      <c r="D137" s="165" t="s">
        <v>942</v>
      </c>
      <c r="E137" s="167" t="s">
        <v>943</v>
      </c>
      <c r="F137" s="167" t="s">
        <v>944</v>
      </c>
      <c r="G137" s="168">
        <v>46050</v>
      </c>
      <c r="H137" s="169">
        <v>46050</v>
      </c>
      <c r="I137" s="169" t="s">
        <v>248</v>
      </c>
      <c r="J137" s="169"/>
      <c r="K137" s="200">
        <v>190000</v>
      </c>
      <c r="L137" s="165" t="s">
        <v>218</v>
      </c>
      <c r="M137" s="171"/>
      <c r="N137" s="168">
        <v>46058</v>
      </c>
      <c r="O137" s="168" t="s">
        <v>197</v>
      </c>
      <c r="P137" s="168" t="s">
        <v>273</v>
      </c>
      <c r="Q137" s="168">
        <v>46058</v>
      </c>
      <c r="R137" s="168">
        <v>46050</v>
      </c>
      <c r="S137" s="168" t="s">
        <v>841</v>
      </c>
      <c r="T137" s="168" t="s">
        <v>842</v>
      </c>
      <c r="U137" s="168" t="s">
        <v>883</v>
      </c>
      <c r="V137" s="168" t="s">
        <v>474</v>
      </c>
      <c r="W137" s="168" t="s">
        <v>945</v>
      </c>
      <c r="X137" s="192" t="s">
        <v>590</v>
      </c>
      <c r="Y137" s="172"/>
    </row>
    <row r="138" spans="1:25" ht="27" customHeight="1" x14ac:dyDescent="0.15">
      <c r="A138" s="165">
        <v>2025</v>
      </c>
      <c r="B138" s="165">
        <v>140</v>
      </c>
      <c r="C138" s="165" t="s">
        <v>249</v>
      </c>
      <c r="D138" s="165" t="s">
        <v>946</v>
      </c>
      <c r="E138" s="167" t="s">
        <v>947</v>
      </c>
      <c r="F138" s="167" t="s">
        <v>948</v>
      </c>
      <c r="G138" s="168">
        <v>46058</v>
      </c>
      <c r="H138" s="169">
        <v>46059</v>
      </c>
      <c r="I138" s="169" t="s">
        <v>248</v>
      </c>
      <c r="J138" s="169"/>
      <c r="K138" s="200">
        <v>430000</v>
      </c>
      <c r="L138" s="165" t="s">
        <v>218</v>
      </c>
      <c r="M138" s="171"/>
      <c r="N138" s="168">
        <v>46087</v>
      </c>
      <c r="O138" s="168" t="s">
        <v>199</v>
      </c>
      <c r="P138" s="168"/>
      <c r="Q138" s="168">
        <v>46087</v>
      </c>
      <c r="R138" s="168">
        <v>46059</v>
      </c>
      <c r="S138" s="168" t="s">
        <v>677</v>
      </c>
      <c r="T138" s="168" t="s">
        <v>621</v>
      </c>
      <c r="U138" s="168" t="s">
        <v>622</v>
      </c>
      <c r="V138" s="168" t="s">
        <v>778</v>
      </c>
      <c r="W138" s="168" t="s">
        <v>949</v>
      </c>
      <c r="X138" s="192"/>
      <c r="Y138" s="172"/>
    </row>
    <row r="139" spans="1:25" ht="27" customHeight="1" x14ac:dyDescent="0.15">
      <c r="A139" s="114">
        <v>2025</v>
      </c>
      <c r="B139" s="114">
        <v>141</v>
      </c>
      <c r="C139" s="114" t="s">
        <v>215</v>
      </c>
      <c r="D139" s="114" t="s">
        <v>950</v>
      </c>
      <c r="E139" s="151" t="s">
        <v>951</v>
      </c>
      <c r="F139" s="151" t="s">
        <v>412</v>
      </c>
      <c r="G139" s="152">
        <v>46053</v>
      </c>
      <c r="H139" s="112">
        <v>46067</v>
      </c>
      <c r="I139" s="112" t="s">
        <v>248</v>
      </c>
      <c r="J139" s="112"/>
      <c r="K139" s="113">
        <v>170000</v>
      </c>
      <c r="L139" s="114" t="s">
        <v>218</v>
      </c>
      <c r="M139" s="183" t="s">
        <v>952</v>
      </c>
      <c r="N139" s="152"/>
      <c r="O139" s="152"/>
      <c r="P139" s="152"/>
      <c r="Q139" s="152"/>
      <c r="R139" s="152"/>
      <c r="S139" s="152"/>
      <c r="T139" s="152"/>
      <c r="U139" s="152"/>
      <c r="V139" s="152"/>
      <c r="W139" s="152"/>
      <c r="X139" s="162"/>
      <c r="Y139" s="117"/>
    </row>
    <row r="140" spans="1:25" ht="27" customHeight="1" x14ac:dyDescent="0.15">
      <c r="A140" s="165">
        <v>2025</v>
      </c>
      <c r="B140" s="165">
        <v>142</v>
      </c>
      <c r="C140" s="165" t="s">
        <v>214</v>
      </c>
      <c r="D140" s="165" t="s">
        <v>953</v>
      </c>
      <c r="E140" s="167" t="s">
        <v>954</v>
      </c>
      <c r="F140" s="167" t="s">
        <v>597</v>
      </c>
      <c r="G140" s="168">
        <v>46028</v>
      </c>
      <c r="H140" s="169">
        <v>46028</v>
      </c>
      <c r="I140" s="169" t="s">
        <v>248</v>
      </c>
      <c r="J140" s="169"/>
      <c r="K140" s="200">
        <v>30000</v>
      </c>
      <c r="L140" s="165" t="s">
        <v>218</v>
      </c>
      <c r="M140" s="171"/>
      <c r="N140" s="168">
        <v>46062</v>
      </c>
      <c r="O140" s="168" t="s">
        <v>197</v>
      </c>
      <c r="P140" s="168" t="s">
        <v>273</v>
      </c>
      <c r="Q140" s="168">
        <v>46062</v>
      </c>
      <c r="R140" s="168">
        <v>46028</v>
      </c>
      <c r="S140" s="168" t="s">
        <v>841</v>
      </c>
      <c r="T140" s="168" t="s">
        <v>842</v>
      </c>
      <c r="U140" s="168" t="s">
        <v>883</v>
      </c>
      <c r="V140" s="168" t="s">
        <v>474</v>
      </c>
      <c r="W140" s="168" t="s">
        <v>955</v>
      </c>
      <c r="X140" s="192" t="s">
        <v>590</v>
      </c>
      <c r="Y140" s="117"/>
    </row>
    <row r="141" spans="1:25" ht="27" customHeight="1" x14ac:dyDescent="0.15">
      <c r="A141" s="114">
        <v>2025</v>
      </c>
      <c r="B141" s="114">
        <v>143</v>
      </c>
      <c r="C141" s="114" t="s">
        <v>219</v>
      </c>
      <c r="D141" s="114" t="s">
        <v>956</v>
      </c>
      <c r="E141" s="151" t="s">
        <v>957</v>
      </c>
      <c r="F141" s="151" t="s">
        <v>958</v>
      </c>
      <c r="G141" s="152">
        <v>46097</v>
      </c>
      <c r="H141" s="112">
        <v>46326</v>
      </c>
      <c r="I141" s="112" t="s">
        <v>248</v>
      </c>
      <c r="J141" s="112">
        <v>46069</v>
      </c>
      <c r="K141" s="113">
        <v>120000000</v>
      </c>
      <c r="L141" s="114" t="s">
        <v>248</v>
      </c>
      <c r="M141" s="183" t="s">
        <v>959</v>
      </c>
      <c r="N141" s="152"/>
      <c r="O141" s="152"/>
      <c r="P141" s="152"/>
      <c r="Q141" s="152"/>
      <c r="R141" s="152"/>
      <c r="S141" s="152"/>
      <c r="T141" s="152"/>
      <c r="U141" s="152"/>
      <c r="V141" s="152"/>
      <c r="W141" s="152"/>
      <c r="X141" s="162"/>
      <c r="Y141" s="162"/>
    </row>
    <row r="142" spans="1:25" ht="27" customHeight="1" x14ac:dyDescent="0.15">
      <c r="A142" s="114">
        <v>2025</v>
      </c>
      <c r="B142" s="114">
        <v>144</v>
      </c>
      <c r="C142" s="114" t="s">
        <v>209</v>
      </c>
      <c r="D142" s="114" t="s">
        <v>960</v>
      </c>
      <c r="E142" s="151" t="s">
        <v>961</v>
      </c>
      <c r="F142" s="151" t="s">
        <v>962</v>
      </c>
      <c r="G142" s="152">
        <v>46067</v>
      </c>
      <c r="H142" s="112">
        <v>46067</v>
      </c>
      <c r="I142" s="112" t="s">
        <v>248</v>
      </c>
      <c r="J142" s="112">
        <v>46063</v>
      </c>
      <c r="K142" s="113">
        <v>70000</v>
      </c>
      <c r="L142" s="114" t="s">
        <v>554</v>
      </c>
      <c r="M142" s="228"/>
      <c r="N142" s="152"/>
      <c r="O142" s="152"/>
      <c r="P142" s="152"/>
      <c r="Q142" s="152"/>
      <c r="R142" s="152"/>
      <c r="S142" s="152"/>
      <c r="T142" s="152"/>
      <c r="U142" s="152"/>
      <c r="V142" s="152"/>
      <c r="W142" s="152"/>
      <c r="X142" s="162"/>
      <c r="Y142" s="162"/>
    </row>
    <row r="143" spans="1:25" ht="27" customHeight="1" x14ac:dyDescent="0.15">
      <c r="A143" s="114">
        <v>2025</v>
      </c>
      <c r="B143" s="114">
        <v>145</v>
      </c>
      <c r="C143" s="114" t="s">
        <v>209</v>
      </c>
      <c r="D143" s="114" t="s">
        <v>963</v>
      </c>
      <c r="E143" s="151" t="s">
        <v>964</v>
      </c>
      <c r="F143" s="151" t="s">
        <v>347</v>
      </c>
      <c r="G143" s="152">
        <v>46122</v>
      </c>
      <c r="H143" s="112">
        <v>46162</v>
      </c>
      <c r="I143" s="112" t="s">
        <v>248</v>
      </c>
      <c r="J143" s="112">
        <v>46069</v>
      </c>
      <c r="K143" s="113">
        <v>14900000</v>
      </c>
      <c r="L143" s="114" t="s">
        <v>554</v>
      </c>
      <c r="M143" s="228"/>
      <c r="N143" s="152"/>
      <c r="O143" s="152"/>
      <c r="P143" s="152"/>
      <c r="Q143" s="152"/>
      <c r="R143" s="152"/>
      <c r="S143" s="152"/>
      <c r="T143" s="152"/>
      <c r="U143" s="152"/>
      <c r="V143" s="152"/>
      <c r="W143" s="152"/>
      <c r="X143" s="162"/>
      <c r="Y143" s="162"/>
    </row>
    <row r="144" spans="1:25" ht="27" customHeight="1" x14ac:dyDescent="0.15">
      <c r="A144" s="165">
        <v>2025</v>
      </c>
      <c r="B144" s="165">
        <v>146</v>
      </c>
      <c r="C144" s="165" t="s">
        <v>665</v>
      </c>
      <c r="D144" s="165" t="s">
        <v>965</v>
      </c>
      <c r="E144" s="167" t="s">
        <v>966</v>
      </c>
      <c r="F144" s="167" t="s">
        <v>967</v>
      </c>
      <c r="G144" s="168">
        <v>46060</v>
      </c>
      <c r="H144" s="169">
        <v>46060</v>
      </c>
      <c r="I144" s="169" t="s">
        <v>253</v>
      </c>
      <c r="J144" s="169">
        <v>46060</v>
      </c>
      <c r="K144" s="200">
        <v>150000</v>
      </c>
      <c r="L144" s="165" t="s">
        <v>218</v>
      </c>
      <c r="M144" s="229"/>
      <c r="N144" s="168">
        <v>46070</v>
      </c>
      <c r="O144" s="168" t="s">
        <v>968</v>
      </c>
      <c r="P144" s="168" t="s">
        <v>273</v>
      </c>
      <c r="Q144" s="168">
        <v>46077</v>
      </c>
      <c r="R144" s="168">
        <v>46060</v>
      </c>
      <c r="S144" s="168" t="s">
        <v>967</v>
      </c>
      <c r="T144" s="168"/>
      <c r="U144" s="168"/>
      <c r="V144" s="168" t="s">
        <v>967</v>
      </c>
      <c r="W144" s="168" t="s">
        <v>967</v>
      </c>
      <c r="X144" s="192"/>
      <c r="Y144" s="192"/>
    </row>
    <row r="145" spans="1:25" ht="27" customHeight="1" x14ac:dyDescent="0.15">
      <c r="A145" s="165">
        <v>2025</v>
      </c>
      <c r="B145" s="165">
        <v>147</v>
      </c>
      <c r="C145" s="165" t="s">
        <v>214</v>
      </c>
      <c r="D145" s="165" t="s">
        <v>409</v>
      </c>
      <c r="E145" s="167" t="s">
        <v>410</v>
      </c>
      <c r="F145" s="167" t="s">
        <v>412</v>
      </c>
      <c r="G145" s="168">
        <v>46053</v>
      </c>
      <c r="H145" s="169">
        <v>46067</v>
      </c>
      <c r="I145" s="169" t="s">
        <v>248</v>
      </c>
      <c r="J145" s="169">
        <v>46003</v>
      </c>
      <c r="K145" s="200">
        <v>170000</v>
      </c>
      <c r="L145" s="165" t="s">
        <v>218</v>
      </c>
      <c r="M145" s="229" t="s">
        <v>969</v>
      </c>
      <c r="N145" s="168">
        <v>46071</v>
      </c>
      <c r="O145" s="168" t="s">
        <v>197</v>
      </c>
      <c r="P145" s="168"/>
      <c r="Q145" s="168"/>
      <c r="R145" s="168"/>
      <c r="S145" s="168" t="s">
        <v>412</v>
      </c>
      <c r="T145" s="168" t="s">
        <v>413</v>
      </c>
      <c r="U145" s="168" t="s">
        <v>414</v>
      </c>
      <c r="V145" s="168" t="s">
        <v>970</v>
      </c>
      <c r="W145" s="168" t="s">
        <v>411</v>
      </c>
      <c r="X145" s="192" t="s">
        <v>415</v>
      </c>
      <c r="Y145" s="192"/>
    </row>
    <row r="146" spans="1:25" ht="27" customHeight="1" x14ac:dyDescent="0.15">
      <c r="A146" s="165">
        <v>2025</v>
      </c>
      <c r="B146" s="165">
        <v>148</v>
      </c>
      <c r="C146" s="165" t="s">
        <v>375</v>
      </c>
      <c r="D146" s="165" t="s">
        <v>971</v>
      </c>
      <c r="E146" s="167" t="s">
        <v>972</v>
      </c>
      <c r="F146" s="167" t="s">
        <v>973</v>
      </c>
      <c r="G146" s="168">
        <v>45992</v>
      </c>
      <c r="H146" s="169">
        <v>46112</v>
      </c>
      <c r="I146" s="169" t="s">
        <v>218</v>
      </c>
      <c r="J146" s="169"/>
      <c r="K146" s="200">
        <v>200000</v>
      </c>
      <c r="L146" s="165" t="s">
        <v>253</v>
      </c>
      <c r="M146" s="229"/>
      <c r="N146" s="168">
        <v>46074</v>
      </c>
      <c r="O146" s="168" t="s">
        <v>197</v>
      </c>
      <c r="P146" s="168" t="s">
        <v>273</v>
      </c>
      <c r="Q146" s="168">
        <v>46073</v>
      </c>
      <c r="R146" s="168">
        <v>46057</v>
      </c>
      <c r="S146" s="168" t="s">
        <v>974</v>
      </c>
      <c r="T146" s="168" t="s">
        <v>975</v>
      </c>
      <c r="U146" s="168" t="s">
        <v>976</v>
      </c>
      <c r="V146" s="168" t="s">
        <v>977</v>
      </c>
      <c r="W146" s="168" t="s">
        <v>978</v>
      </c>
      <c r="X146" s="192"/>
      <c r="Y146" s="192"/>
    </row>
    <row r="147" spans="1:25" ht="27" customHeight="1" x14ac:dyDescent="0.15">
      <c r="A147" s="165">
        <v>2025</v>
      </c>
      <c r="B147" s="165">
        <v>149</v>
      </c>
      <c r="C147" s="165" t="s">
        <v>214</v>
      </c>
      <c r="D147" s="165" t="s">
        <v>979</v>
      </c>
      <c r="E147" s="167" t="s">
        <v>980</v>
      </c>
      <c r="F147" s="167" t="s">
        <v>677</v>
      </c>
      <c r="G147" s="168">
        <v>46077</v>
      </c>
      <c r="H147" s="169">
        <v>46077</v>
      </c>
      <c r="I147" s="169" t="s">
        <v>248</v>
      </c>
      <c r="J147" s="169">
        <v>46077</v>
      </c>
      <c r="K147" s="200">
        <v>33000</v>
      </c>
      <c r="L147" s="165" t="s">
        <v>218</v>
      </c>
      <c r="M147" s="229"/>
      <c r="N147" s="168">
        <v>46078</v>
      </c>
      <c r="O147" s="168" t="s">
        <v>197</v>
      </c>
      <c r="P147" s="168" t="s">
        <v>273</v>
      </c>
      <c r="Q147" s="168">
        <v>46078</v>
      </c>
      <c r="R147" s="168">
        <v>46077</v>
      </c>
      <c r="S147" s="168" t="s">
        <v>677</v>
      </c>
      <c r="T147" s="168" t="s">
        <v>621</v>
      </c>
      <c r="U147" s="168" t="s">
        <v>622</v>
      </c>
      <c r="V147" s="168" t="s">
        <v>778</v>
      </c>
      <c r="W147" s="168" t="s">
        <v>624</v>
      </c>
      <c r="X147" s="192" t="s">
        <v>590</v>
      </c>
      <c r="Y147" s="192"/>
    </row>
    <row r="148" spans="1:25" ht="27" customHeight="1" x14ac:dyDescent="0.15">
      <c r="A148" s="114">
        <v>2025</v>
      </c>
      <c r="B148" s="114">
        <v>150</v>
      </c>
      <c r="C148" s="114" t="s">
        <v>572</v>
      </c>
      <c r="D148" s="114" t="s">
        <v>981</v>
      </c>
      <c r="E148" s="151" t="s">
        <v>982</v>
      </c>
      <c r="F148" s="151" t="s">
        <v>831</v>
      </c>
      <c r="G148" s="152">
        <v>46084</v>
      </c>
      <c r="H148" s="112">
        <v>46101</v>
      </c>
      <c r="I148" s="112"/>
      <c r="J148" s="112"/>
      <c r="K148" s="113">
        <v>2100000</v>
      </c>
      <c r="L148" s="114" t="s">
        <v>218</v>
      </c>
      <c r="M148" s="161" t="s">
        <v>348</v>
      </c>
      <c r="N148" s="152"/>
      <c r="O148" s="152"/>
      <c r="P148" s="152"/>
      <c r="Q148" s="152"/>
      <c r="R148" s="152"/>
      <c r="S148" s="152"/>
      <c r="T148" s="152"/>
      <c r="U148" s="152"/>
      <c r="V148" s="152"/>
      <c r="W148" s="152"/>
      <c r="X148" s="162"/>
      <c r="Y148" s="162"/>
    </row>
    <row r="149" spans="1:25" ht="27" customHeight="1" x14ac:dyDescent="0.15">
      <c r="A149" s="165">
        <v>2025</v>
      </c>
      <c r="B149" s="165">
        <v>151</v>
      </c>
      <c r="C149" s="165" t="s">
        <v>214</v>
      </c>
      <c r="D149" s="165" t="s">
        <v>983</v>
      </c>
      <c r="E149" s="167" t="s">
        <v>984</v>
      </c>
      <c r="F149" s="167" t="s">
        <v>597</v>
      </c>
      <c r="G149" s="168">
        <v>46073</v>
      </c>
      <c r="H149" s="169">
        <v>46081</v>
      </c>
      <c r="I149" s="169" t="s">
        <v>248</v>
      </c>
      <c r="J149" s="169"/>
      <c r="K149" s="200">
        <v>61000</v>
      </c>
      <c r="L149" s="165" t="s">
        <v>218</v>
      </c>
      <c r="M149" s="229" t="s">
        <v>590</v>
      </c>
      <c r="N149" s="168">
        <v>46085</v>
      </c>
      <c r="O149" s="168" t="s">
        <v>197</v>
      </c>
      <c r="P149" s="168" t="s">
        <v>273</v>
      </c>
      <c r="Q149" s="168"/>
      <c r="R149" s="168"/>
      <c r="S149" s="168" t="s">
        <v>841</v>
      </c>
      <c r="T149" s="168" t="s">
        <v>842</v>
      </c>
      <c r="U149" s="168" t="s">
        <v>883</v>
      </c>
      <c r="V149" s="168" t="s">
        <v>474</v>
      </c>
      <c r="W149" s="168" t="s">
        <v>955</v>
      </c>
      <c r="X149" s="192" t="s">
        <v>590</v>
      </c>
      <c r="Y149" s="192"/>
    </row>
    <row r="150" spans="1:25" ht="27" customHeight="1" x14ac:dyDescent="0.15">
      <c r="A150" s="114">
        <v>2025</v>
      </c>
      <c r="B150" s="114">
        <v>152</v>
      </c>
      <c r="C150" s="114" t="s">
        <v>219</v>
      </c>
      <c r="D150" s="114" t="s">
        <v>985</v>
      </c>
      <c r="E150" s="151" t="s">
        <v>986</v>
      </c>
      <c r="F150" s="151" t="s">
        <v>987</v>
      </c>
      <c r="G150" s="152">
        <v>46296</v>
      </c>
      <c r="H150" s="112">
        <v>46660</v>
      </c>
      <c r="I150" s="112" t="s">
        <v>248</v>
      </c>
      <c r="J150" s="112"/>
      <c r="K150" s="113">
        <v>276000000</v>
      </c>
      <c r="L150" s="114" t="s">
        <v>248</v>
      </c>
      <c r="M150" s="230" t="s">
        <v>988</v>
      </c>
      <c r="N150" s="152"/>
      <c r="O150" s="152"/>
      <c r="P150" s="152"/>
      <c r="Q150" s="152"/>
      <c r="R150" s="152"/>
      <c r="S150" s="152"/>
      <c r="T150" s="152"/>
      <c r="U150" s="152"/>
      <c r="V150" s="152"/>
      <c r="W150" s="152"/>
      <c r="X150" s="162"/>
      <c r="Y150" s="162"/>
    </row>
    <row r="151" spans="1:25" ht="27" customHeight="1" x14ac:dyDescent="0.15">
      <c r="A151" s="114">
        <v>2025</v>
      </c>
      <c r="B151" s="114">
        <v>153</v>
      </c>
      <c r="C151" s="114" t="s">
        <v>572</v>
      </c>
      <c r="D151" s="114" t="s">
        <v>989</v>
      </c>
      <c r="E151" s="151" t="s">
        <v>990</v>
      </c>
      <c r="F151" s="151" t="s">
        <v>831</v>
      </c>
      <c r="G151" s="152">
        <v>46090</v>
      </c>
      <c r="H151" s="112">
        <v>46092</v>
      </c>
      <c r="I151" s="112" t="s">
        <v>248</v>
      </c>
      <c r="J151" s="112"/>
      <c r="K151" s="113">
        <v>95000</v>
      </c>
      <c r="L151" s="114" t="s">
        <v>218</v>
      </c>
      <c r="M151" s="228"/>
      <c r="N151" s="152"/>
      <c r="O151" s="152"/>
      <c r="P151" s="152"/>
      <c r="Q151" s="152"/>
      <c r="R151" s="152"/>
      <c r="S151" s="152"/>
      <c r="T151" s="152"/>
      <c r="U151" s="152"/>
      <c r="V151" s="152"/>
      <c r="W151" s="152"/>
      <c r="X151" s="162"/>
      <c r="Y151" s="162"/>
    </row>
    <row r="152" spans="1:25" ht="27" customHeight="1" x14ac:dyDescent="0.15">
      <c r="A152" s="114">
        <v>2025</v>
      </c>
      <c r="B152" s="114">
        <v>155</v>
      </c>
      <c r="C152" s="114" t="s">
        <v>847</v>
      </c>
      <c r="D152" s="114" t="s">
        <v>991</v>
      </c>
      <c r="E152" s="151" t="s">
        <v>992</v>
      </c>
      <c r="F152" s="151" t="s">
        <v>993</v>
      </c>
      <c r="G152" s="152"/>
      <c r="H152" s="112"/>
      <c r="I152" s="112" t="s">
        <v>248</v>
      </c>
      <c r="J152" s="112">
        <v>46093</v>
      </c>
      <c r="K152" s="113">
        <v>2000000</v>
      </c>
      <c r="L152" s="114" t="s">
        <v>218</v>
      </c>
      <c r="M152" s="228" t="s">
        <v>994</v>
      </c>
      <c r="N152" s="152"/>
      <c r="O152" s="152"/>
      <c r="P152" s="152"/>
      <c r="Q152" s="152"/>
      <c r="R152" s="152"/>
      <c r="S152" s="152"/>
      <c r="T152" s="152"/>
      <c r="U152" s="152"/>
      <c r="V152" s="152"/>
      <c r="W152" s="152"/>
      <c r="X152" s="162"/>
      <c r="Y152" s="162"/>
    </row>
    <row r="153" spans="1:25" ht="27" customHeight="1" x14ac:dyDescent="0.15">
      <c r="A153" s="165">
        <v>2025</v>
      </c>
      <c r="B153" s="165">
        <v>156</v>
      </c>
      <c r="C153" s="165" t="s">
        <v>375</v>
      </c>
      <c r="D153" s="165" t="s">
        <v>995</v>
      </c>
      <c r="E153" s="167" t="s">
        <v>996</v>
      </c>
      <c r="F153" s="167" t="s">
        <v>819</v>
      </c>
      <c r="G153" s="168">
        <v>46104</v>
      </c>
      <c r="H153" s="169">
        <v>46173</v>
      </c>
      <c r="I153" s="169"/>
      <c r="J153" s="169"/>
      <c r="K153" s="200">
        <v>12500000</v>
      </c>
      <c r="L153" s="165" t="s">
        <v>248</v>
      </c>
      <c r="M153" s="229"/>
      <c r="N153" s="168">
        <v>46143</v>
      </c>
      <c r="O153" s="168" t="s">
        <v>197</v>
      </c>
      <c r="P153" s="168"/>
      <c r="Q153" s="168">
        <v>46143</v>
      </c>
      <c r="R153" s="168">
        <v>46135</v>
      </c>
      <c r="S153" s="168" t="s">
        <v>326</v>
      </c>
      <c r="T153" s="168" t="s">
        <v>324</v>
      </c>
      <c r="U153" s="168" t="s">
        <v>997</v>
      </c>
      <c r="V153" s="168" t="s">
        <v>325</v>
      </c>
      <c r="W153" s="168" t="s">
        <v>998</v>
      </c>
      <c r="X153" s="192" t="s">
        <v>999</v>
      </c>
      <c r="Y153" s="192"/>
    </row>
    <row r="154" spans="1:25" ht="27" customHeight="1" x14ac:dyDescent="0.15">
      <c r="A154" s="114">
        <v>2025</v>
      </c>
      <c r="B154" s="114">
        <v>157</v>
      </c>
      <c r="C154" s="114" t="s">
        <v>213</v>
      </c>
      <c r="D154" s="114" t="s">
        <v>1000</v>
      </c>
      <c r="E154" s="151" t="s">
        <v>1001</v>
      </c>
      <c r="F154" s="151" t="s">
        <v>819</v>
      </c>
      <c r="G154" s="152">
        <v>46153</v>
      </c>
      <c r="H154" s="112">
        <v>46265</v>
      </c>
      <c r="I154" s="112"/>
      <c r="J154" s="112"/>
      <c r="K154" s="113"/>
      <c r="L154" s="114" t="s">
        <v>248</v>
      </c>
      <c r="M154" s="228"/>
      <c r="N154" s="152"/>
      <c r="O154" s="152"/>
      <c r="P154" s="152"/>
      <c r="Q154" s="152"/>
      <c r="R154" s="152"/>
      <c r="S154" s="152"/>
      <c r="T154" s="152"/>
      <c r="U154" s="152"/>
      <c r="V154" s="152"/>
      <c r="W154" s="152"/>
      <c r="X154" s="162"/>
      <c r="Y154" s="162"/>
    </row>
    <row r="155" spans="1:25" ht="27" customHeight="1" x14ac:dyDescent="0.15">
      <c r="A155" s="165">
        <v>2025</v>
      </c>
      <c r="B155" s="165">
        <v>159</v>
      </c>
      <c r="C155" s="165" t="s">
        <v>214</v>
      </c>
      <c r="D155" s="165" t="s">
        <v>1002</v>
      </c>
      <c r="E155" s="167" t="s">
        <v>1003</v>
      </c>
      <c r="F155" s="167" t="s">
        <v>1004</v>
      </c>
      <c r="G155" s="168">
        <v>46099</v>
      </c>
      <c r="H155" s="169">
        <v>46099</v>
      </c>
      <c r="I155" s="169" t="s">
        <v>248</v>
      </c>
      <c r="J155" s="169">
        <v>46099</v>
      </c>
      <c r="K155" s="200">
        <v>80000</v>
      </c>
      <c r="L155" s="165" t="s">
        <v>218</v>
      </c>
      <c r="M155" s="229"/>
      <c r="N155" s="168">
        <v>46101</v>
      </c>
      <c r="O155" s="168" t="s">
        <v>199</v>
      </c>
      <c r="P155" s="168" t="s">
        <v>528</v>
      </c>
      <c r="Q155" s="168">
        <v>46101</v>
      </c>
      <c r="R155" s="168">
        <v>46099</v>
      </c>
      <c r="S155" s="168" t="s">
        <v>1004</v>
      </c>
      <c r="T155" s="168" t="s">
        <v>1005</v>
      </c>
      <c r="U155" s="168" t="s">
        <v>1006</v>
      </c>
      <c r="V155" s="168" t="s">
        <v>474</v>
      </c>
      <c r="W155" s="168" t="s">
        <v>1007</v>
      </c>
      <c r="X155" s="192" t="s">
        <v>1008</v>
      </c>
      <c r="Y155" s="192"/>
    </row>
    <row r="156" spans="1:25" ht="27" customHeight="1" x14ac:dyDescent="0.15">
      <c r="A156" s="165">
        <v>2025</v>
      </c>
      <c r="B156" s="165">
        <v>160</v>
      </c>
      <c r="C156" s="165" t="s">
        <v>214</v>
      </c>
      <c r="D156" s="165" t="s">
        <v>1009</v>
      </c>
      <c r="E156" s="167" t="s">
        <v>1010</v>
      </c>
      <c r="F156" s="167" t="s">
        <v>1011</v>
      </c>
      <c r="G156" s="168">
        <v>46102</v>
      </c>
      <c r="H156" s="169">
        <v>46102</v>
      </c>
      <c r="I156" s="169" t="s">
        <v>352</v>
      </c>
      <c r="J156" s="169">
        <v>46097</v>
      </c>
      <c r="K156" s="200">
        <v>100000</v>
      </c>
      <c r="L156" s="165" t="s">
        <v>218</v>
      </c>
      <c r="M156" s="229"/>
      <c r="N156" s="168">
        <v>46101</v>
      </c>
      <c r="O156" s="168" t="s">
        <v>199</v>
      </c>
      <c r="P156" s="168" t="s">
        <v>590</v>
      </c>
      <c r="Q156" s="168">
        <v>46101</v>
      </c>
      <c r="R156" s="168">
        <v>46102</v>
      </c>
      <c r="S156" s="168" t="s">
        <v>1012</v>
      </c>
      <c r="T156" s="168" t="s">
        <v>1013</v>
      </c>
      <c r="U156" s="168" t="s">
        <v>1014</v>
      </c>
      <c r="V156" s="168" t="s">
        <v>474</v>
      </c>
      <c r="W156" s="168" t="s">
        <v>814</v>
      </c>
      <c r="X156" s="192" t="s">
        <v>1015</v>
      </c>
      <c r="Y156" s="192"/>
    </row>
    <row r="157" spans="1:25" ht="27" customHeight="1" x14ac:dyDescent="0.15">
      <c r="A157" s="114">
        <v>2025</v>
      </c>
      <c r="B157" s="114">
        <v>161</v>
      </c>
      <c r="C157" s="114" t="s">
        <v>219</v>
      </c>
      <c r="D157" s="114" t="s">
        <v>1016</v>
      </c>
      <c r="E157" s="151" t="s">
        <v>1017</v>
      </c>
      <c r="F157" s="151" t="s">
        <v>1018</v>
      </c>
      <c r="G157" s="152">
        <v>46127</v>
      </c>
      <c r="H157" s="112">
        <v>46460</v>
      </c>
      <c r="I157" s="112" t="s">
        <v>352</v>
      </c>
      <c r="J157" s="112" t="s">
        <v>1019</v>
      </c>
      <c r="K157" s="113">
        <v>17300000</v>
      </c>
      <c r="L157" s="114" t="s">
        <v>248</v>
      </c>
      <c r="M157" s="228"/>
      <c r="N157" s="152"/>
      <c r="O157" s="152"/>
      <c r="P157" s="152"/>
      <c r="Q157" s="152"/>
      <c r="R157" s="152"/>
      <c r="S157" s="152"/>
      <c r="T157" s="152"/>
      <c r="U157" s="152"/>
      <c r="V157" s="152"/>
      <c r="W157" s="152"/>
      <c r="X157" s="162"/>
      <c r="Y157" s="162"/>
    </row>
    <row r="158" spans="1:25" ht="27" customHeight="1" x14ac:dyDescent="0.15">
      <c r="A158" s="165">
        <v>2025</v>
      </c>
      <c r="B158" s="165">
        <v>162</v>
      </c>
      <c r="C158" s="165" t="s">
        <v>211</v>
      </c>
      <c r="D158" s="165" t="s">
        <v>1020</v>
      </c>
      <c r="E158" s="167" t="s">
        <v>1021</v>
      </c>
      <c r="F158" s="167" t="s">
        <v>354</v>
      </c>
      <c r="G158" s="168">
        <v>46093</v>
      </c>
      <c r="H158" s="169">
        <v>46093</v>
      </c>
      <c r="I158" s="169" t="s">
        <v>218</v>
      </c>
      <c r="J158" s="169"/>
      <c r="K158" s="200">
        <v>156000</v>
      </c>
      <c r="L158" s="165" t="s">
        <v>218</v>
      </c>
      <c r="M158" s="229"/>
      <c r="N158" s="168">
        <v>46115</v>
      </c>
      <c r="O158" s="168" t="s">
        <v>197</v>
      </c>
      <c r="P158" s="168"/>
      <c r="Q158" s="168">
        <v>46115</v>
      </c>
      <c r="R158" s="168">
        <v>46100</v>
      </c>
      <c r="S158" s="168" t="s">
        <v>354</v>
      </c>
      <c r="T158" s="168" t="s">
        <v>355</v>
      </c>
      <c r="U158" s="168" t="s">
        <v>356</v>
      </c>
      <c r="V158" s="168" t="s">
        <v>357</v>
      </c>
      <c r="W158" s="168" t="s">
        <v>354</v>
      </c>
      <c r="X158" s="192"/>
      <c r="Y158" s="192"/>
    </row>
    <row r="159" spans="1:25" ht="27" customHeight="1" x14ac:dyDescent="0.15">
      <c r="A159" s="165">
        <v>2025</v>
      </c>
      <c r="B159" s="165">
        <v>163</v>
      </c>
      <c r="C159" s="165" t="s">
        <v>211</v>
      </c>
      <c r="D159" s="165" t="s">
        <v>1022</v>
      </c>
      <c r="E159" s="167" t="s">
        <v>1023</v>
      </c>
      <c r="F159" s="167" t="s">
        <v>354</v>
      </c>
      <c r="G159" s="168">
        <v>46106</v>
      </c>
      <c r="H159" s="169">
        <v>46122</v>
      </c>
      <c r="I159" s="169" t="s">
        <v>218</v>
      </c>
      <c r="J159" s="169">
        <v>46101</v>
      </c>
      <c r="K159" s="200">
        <v>950000</v>
      </c>
      <c r="L159" s="165" t="s">
        <v>218</v>
      </c>
      <c r="M159" s="229"/>
      <c r="N159" s="168">
        <v>46122</v>
      </c>
      <c r="O159" s="168" t="s">
        <v>197</v>
      </c>
      <c r="P159" s="168"/>
      <c r="Q159" s="168">
        <v>46125</v>
      </c>
      <c r="R159" s="168">
        <v>46122</v>
      </c>
      <c r="S159" s="168" t="s">
        <v>354</v>
      </c>
      <c r="T159" s="168" t="s">
        <v>355</v>
      </c>
      <c r="U159" s="168" t="s">
        <v>356</v>
      </c>
      <c r="V159" s="168" t="s">
        <v>357</v>
      </c>
      <c r="W159" s="168" t="s">
        <v>354</v>
      </c>
      <c r="X159" s="192"/>
      <c r="Y159" s="192"/>
    </row>
    <row r="160" spans="1:25" ht="27" customHeight="1" x14ac:dyDescent="0.15">
      <c r="A160" s="165">
        <v>2025</v>
      </c>
      <c r="B160" s="165">
        <v>164</v>
      </c>
      <c r="C160" s="165" t="s">
        <v>211</v>
      </c>
      <c r="D160" s="165" t="s">
        <v>1024</v>
      </c>
      <c r="E160" s="167" t="s">
        <v>1025</v>
      </c>
      <c r="F160" s="167" t="s">
        <v>354</v>
      </c>
      <c r="G160" s="168">
        <v>46105</v>
      </c>
      <c r="H160" s="169">
        <v>46105</v>
      </c>
      <c r="I160" s="169"/>
      <c r="J160" s="169">
        <v>46105</v>
      </c>
      <c r="K160" s="200">
        <v>25000</v>
      </c>
      <c r="L160" s="165" t="s">
        <v>218</v>
      </c>
      <c r="M160" s="229"/>
      <c r="N160" s="168">
        <v>46122</v>
      </c>
      <c r="O160" s="168" t="s">
        <v>197</v>
      </c>
      <c r="P160" s="168"/>
      <c r="Q160" s="168">
        <v>46122</v>
      </c>
      <c r="R160" s="168"/>
      <c r="S160" s="168" t="s">
        <v>354</v>
      </c>
      <c r="T160" s="168" t="s">
        <v>355</v>
      </c>
      <c r="U160" s="168" t="s">
        <v>356</v>
      </c>
      <c r="V160" s="168" t="s">
        <v>357</v>
      </c>
      <c r="W160" s="168" t="s">
        <v>354</v>
      </c>
      <c r="X160" s="192"/>
      <c r="Y160" s="192"/>
    </row>
    <row r="161" spans="1:25" ht="27" customHeight="1" x14ac:dyDescent="0.15">
      <c r="A161" s="165">
        <v>2025</v>
      </c>
      <c r="B161" s="165">
        <v>165</v>
      </c>
      <c r="C161" s="165" t="s">
        <v>214</v>
      </c>
      <c r="D161" s="165" t="s">
        <v>1026</v>
      </c>
      <c r="E161" s="167" t="s">
        <v>1027</v>
      </c>
      <c r="F161" s="167" t="s">
        <v>841</v>
      </c>
      <c r="G161" s="168">
        <v>46087</v>
      </c>
      <c r="H161" s="169">
        <v>46105</v>
      </c>
      <c r="I161" s="169" t="s">
        <v>248</v>
      </c>
      <c r="J161" s="169">
        <v>46083</v>
      </c>
      <c r="K161" s="200">
        <v>350000</v>
      </c>
      <c r="L161" s="165" t="s">
        <v>218</v>
      </c>
      <c r="M161" s="229" t="s">
        <v>590</v>
      </c>
      <c r="N161" s="168">
        <v>46112</v>
      </c>
      <c r="O161" s="168" t="s">
        <v>197</v>
      </c>
      <c r="P161" s="168" t="s">
        <v>590</v>
      </c>
      <c r="Q161" s="168">
        <v>46112</v>
      </c>
      <c r="R161" s="168">
        <v>46105</v>
      </c>
      <c r="S161" s="168" t="s">
        <v>944</v>
      </c>
      <c r="T161" s="168" t="s">
        <v>842</v>
      </c>
      <c r="U161" s="168" t="s">
        <v>1028</v>
      </c>
      <c r="V161" s="168" t="s">
        <v>474</v>
      </c>
      <c r="W161" s="168" t="s">
        <v>1029</v>
      </c>
      <c r="X161" s="192" t="s">
        <v>590</v>
      </c>
      <c r="Y161" s="192"/>
    </row>
    <row r="162" spans="1:25" ht="27" customHeight="1" x14ac:dyDescent="0.15">
      <c r="A162" s="165">
        <v>2025</v>
      </c>
      <c r="B162" s="165">
        <v>166</v>
      </c>
      <c r="C162" s="165" t="s">
        <v>211</v>
      </c>
      <c r="D162" s="165" t="s">
        <v>1030</v>
      </c>
      <c r="E162" s="167" t="s">
        <v>1031</v>
      </c>
      <c r="F162" s="167" t="s">
        <v>1032</v>
      </c>
      <c r="G162" s="168">
        <v>46098</v>
      </c>
      <c r="H162" s="169">
        <v>46098</v>
      </c>
      <c r="I162" s="169" t="s">
        <v>248</v>
      </c>
      <c r="J162" s="169">
        <v>46094</v>
      </c>
      <c r="K162" s="200">
        <v>25000</v>
      </c>
      <c r="L162" s="165" t="s">
        <v>218</v>
      </c>
      <c r="M162" s="229"/>
      <c r="N162" s="168">
        <v>46115</v>
      </c>
      <c r="O162" s="168" t="s">
        <v>197</v>
      </c>
      <c r="P162" s="168"/>
      <c r="Q162" s="168">
        <v>46115</v>
      </c>
      <c r="R162" s="168">
        <v>46115</v>
      </c>
      <c r="S162" s="168" t="s">
        <v>232</v>
      </c>
      <c r="T162" s="168" t="s">
        <v>233</v>
      </c>
      <c r="U162" s="168" t="s">
        <v>234</v>
      </c>
      <c r="V162" s="168" t="s">
        <v>235</v>
      </c>
      <c r="W162" s="168" t="s">
        <v>232</v>
      </c>
      <c r="X162" s="192" t="s">
        <v>1033</v>
      </c>
      <c r="Y162" s="192"/>
    </row>
    <row r="163" spans="1:25" ht="27" customHeight="1" x14ac:dyDescent="0.15">
      <c r="A163" s="114">
        <v>2025</v>
      </c>
      <c r="B163" s="114">
        <v>167</v>
      </c>
      <c r="C163" s="114" t="s">
        <v>892</v>
      </c>
      <c r="D163" s="114" t="s">
        <v>1034</v>
      </c>
      <c r="E163" s="151" t="s">
        <v>1035</v>
      </c>
      <c r="F163" s="151" t="s">
        <v>1036</v>
      </c>
      <c r="G163" s="152"/>
      <c r="H163" s="112"/>
      <c r="I163" s="112"/>
      <c r="J163" s="112"/>
      <c r="K163" s="113"/>
      <c r="L163" s="114" t="s">
        <v>248</v>
      </c>
      <c r="M163" s="228"/>
      <c r="N163" s="152"/>
      <c r="O163" s="152"/>
      <c r="P163" s="152"/>
      <c r="Q163" s="152"/>
      <c r="R163" s="152"/>
      <c r="S163" s="152"/>
      <c r="T163" s="152"/>
      <c r="U163" s="152"/>
      <c r="V163" s="152"/>
      <c r="W163" s="152"/>
      <c r="X163" s="162"/>
      <c r="Y163" s="162"/>
    </row>
    <row r="164" spans="1:25" ht="27" customHeight="1" x14ac:dyDescent="0.15">
      <c r="A164" s="114">
        <v>2025</v>
      </c>
      <c r="B164" s="114">
        <v>168</v>
      </c>
      <c r="C164" s="114" t="s">
        <v>209</v>
      </c>
      <c r="D164" s="114" t="s">
        <v>1037</v>
      </c>
      <c r="E164" s="151" t="s">
        <v>1038</v>
      </c>
      <c r="F164" s="151" t="s">
        <v>354</v>
      </c>
      <c r="G164" s="152">
        <v>46139</v>
      </c>
      <c r="H164" s="112">
        <v>46157</v>
      </c>
      <c r="I164" s="112" t="s">
        <v>218</v>
      </c>
      <c r="J164" s="112">
        <v>46136</v>
      </c>
      <c r="K164" s="113">
        <v>123000</v>
      </c>
      <c r="L164" s="114" t="s">
        <v>218</v>
      </c>
      <c r="M164" s="161" t="s">
        <v>348</v>
      </c>
      <c r="N164" s="152"/>
      <c r="O164" s="152"/>
      <c r="P164" s="152"/>
      <c r="Q164" s="152"/>
      <c r="R164" s="152"/>
      <c r="S164" s="152"/>
      <c r="T164" s="152"/>
      <c r="U164" s="152"/>
      <c r="V164" s="152"/>
      <c r="W164" s="152"/>
      <c r="X164" s="162"/>
      <c r="Y164" s="162"/>
    </row>
    <row r="165" spans="1:25" ht="27" customHeight="1" x14ac:dyDescent="0.15">
      <c r="A165" s="231">
        <v>2026</v>
      </c>
      <c r="B165" s="114">
        <v>169</v>
      </c>
      <c r="C165" s="114" t="s">
        <v>847</v>
      </c>
      <c r="D165" s="114" t="s">
        <v>1039</v>
      </c>
      <c r="E165" s="151" t="s">
        <v>1040</v>
      </c>
      <c r="F165" s="151" t="s">
        <v>1041</v>
      </c>
      <c r="G165" s="152">
        <v>45839</v>
      </c>
      <c r="H165" s="112">
        <v>46258</v>
      </c>
      <c r="I165" s="112" t="s">
        <v>248</v>
      </c>
      <c r="J165" s="112">
        <v>45834</v>
      </c>
      <c r="K165" s="113">
        <v>128210000</v>
      </c>
      <c r="L165" s="114" t="s">
        <v>248</v>
      </c>
      <c r="M165" s="228"/>
      <c r="N165" s="152"/>
      <c r="O165" s="152"/>
      <c r="P165" s="152"/>
      <c r="Q165" s="152"/>
      <c r="R165" s="152"/>
      <c r="S165" s="152"/>
      <c r="T165" s="152"/>
      <c r="U165" s="152"/>
      <c r="V165" s="152"/>
      <c r="W165" s="152"/>
      <c r="X165" s="162"/>
      <c r="Y165" s="162"/>
    </row>
    <row r="166" spans="1:25" ht="27" customHeight="1" x14ac:dyDescent="0.15">
      <c r="A166" s="165">
        <v>2025</v>
      </c>
      <c r="B166" s="165">
        <v>170</v>
      </c>
      <c r="C166" s="165" t="s">
        <v>665</v>
      </c>
      <c r="D166" s="165" t="s">
        <v>1042</v>
      </c>
      <c r="E166" s="167" t="s">
        <v>1043</v>
      </c>
      <c r="F166" s="167" t="s">
        <v>1044</v>
      </c>
      <c r="G166" s="168">
        <v>46151</v>
      </c>
      <c r="H166" s="169">
        <v>46152</v>
      </c>
      <c r="I166" s="169" t="s">
        <v>352</v>
      </c>
      <c r="J166" s="169">
        <v>46132</v>
      </c>
      <c r="K166" s="200">
        <v>350000</v>
      </c>
      <c r="L166" s="165" t="s">
        <v>253</v>
      </c>
      <c r="M166" s="229"/>
      <c r="N166" s="168">
        <v>46158</v>
      </c>
      <c r="O166" s="168" t="s">
        <v>197</v>
      </c>
      <c r="P166" s="168"/>
      <c r="Q166" s="168">
        <v>46172</v>
      </c>
      <c r="R166" s="168">
        <v>46152</v>
      </c>
      <c r="S166" s="168" t="s">
        <v>1112</v>
      </c>
      <c r="T166" s="168" t="s">
        <v>1113</v>
      </c>
      <c r="U166" s="168" t="s">
        <v>1114</v>
      </c>
      <c r="V166" s="168" t="s">
        <v>1115</v>
      </c>
      <c r="W166" s="168" t="s">
        <v>1116</v>
      </c>
      <c r="X166" s="192" t="s">
        <v>1117</v>
      </c>
      <c r="Y166" s="192"/>
    </row>
    <row r="167" spans="1:25" ht="27" customHeight="1" x14ac:dyDescent="0.15">
      <c r="A167" s="165">
        <v>2025</v>
      </c>
      <c r="B167" s="165">
        <v>171</v>
      </c>
      <c r="C167" s="165" t="s">
        <v>214</v>
      </c>
      <c r="D167" s="165" t="s">
        <v>1045</v>
      </c>
      <c r="E167" s="167" t="s">
        <v>1046</v>
      </c>
      <c r="F167" s="167" t="s">
        <v>887</v>
      </c>
      <c r="G167" s="168">
        <v>46129</v>
      </c>
      <c r="H167" s="169">
        <v>46129</v>
      </c>
      <c r="I167" s="169" t="s">
        <v>248</v>
      </c>
      <c r="J167" s="169">
        <v>46119</v>
      </c>
      <c r="K167" s="200">
        <v>120000</v>
      </c>
      <c r="L167" s="165" t="s">
        <v>218</v>
      </c>
      <c r="M167" s="229" t="s">
        <v>590</v>
      </c>
      <c r="N167" s="168">
        <v>46141</v>
      </c>
      <c r="O167" s="168" t="s">
        <v>197</v>
      </c>
      <c r="P167" s="168" t="s">
        <v>590</v>
      </c>
      <c r="Q167" s="168">
        <v>46141</v>
      </c>
      <c r="R167" s="168">
        <v>46129</v>
      </c>
      <c r="S167" s="168" t="s">
        <v>856</v>
      </c>
      <c r="T167" s="168" t="s">
        <v>621</v>
      </c>
      <c r="U167" s="168" t="s">
        <v>857</v>
      </c>
      <c r="V167" s="168" t="s">
        <v>474</v>
      </c>
      <c r="W167" s="168" t="s">
        <v>858</v>
      </c>
      <c r="X167" s="192" t="s">
        <v>590</v>
      </c>
      <c r="Y167" s="192"/>
    </row>
    <row r="168" spans="1:25" ht="27" customHeight="1" x14ac:dyDescent="0.15">
      <c r="A168" s="114">
        <v>2025</v>
      </c>
      <c r="B168" s="114">
        <v>172</v>
      </c>
      <c r="C168" s="114" t="s">
        <v>209</v>
      </c>
      <c r="D168" s="114" t="s">
        <v>1047</v>
      </c>
      <c r="E168" s="151" t="s">
        <v>1048</v>
      </c>
      <c r="F168" s="151" t="s">
        <v>1049</v>
      </c>
      <c r="G168" s="152">
        <v>46141</v>
      </c>
      <c r="H168" s="112">
        <v>46160</v>
      </c>
      <c r="I168" s="112" t="s">
        <v>248</v>
      </c>
      <c r="J168" s="112">
        <v>46140</v>
      </c>
      <c r="K168" s="113">
        <v>50000</v>
      </c>
      <c r="L168" s="114" t="s">
        <v>218</v>
      </c>
      <c r="M168" s="228" t="s">
        <v>1050</v>
      </c>
      <c r="N168" s="152"/>
      <c r="O168" s="152"/>
      <c r="P168" s="152"/>
      <c r="Q168" s="152"/>
      <c r="R168" s="152"/>
      <c r="S168" s="152"/>
      <c r="T168" s="152"/>
      <c r="U168" s="152"/>
      <c r="V168" s="152"/>
      <c r="W168" s="152"/>
      <c r="X168" s="162"/>
      <c r="Y168" s="162"/>
    </row>
    <row r="169" spans="1:25" ht="27" customHeight="1" x14ac:dyDescent="0.15">
      <c r="A169" s="44">
        <v>2025</v>
      </c>
      <c r="B169" s="44">
        <v>173</v>
      </c>
      <c r="C169" s="44" t="s">
        <v>214</v>
      </c>
      <c r="D169" s="44" t="s">
        <v>1051</v>
      </c>
      <c r="E169" s="145" t="s">
        <v>1052</v>
      </c>
      <c r="F169" s="145" t="s">
        <v>856</v>
      </c>
      <c r="G169" s="146">
        <v>46154</v>
      </c>
      <c r="H169" s="147">
        <v>46154</v>
      </c>
      <c r="I169" s="147" t="s">
        <v>248</v>
      </c>
      <c r="J169" s="147">
        <v>46153</v>
      </c>
      <c r="K169" s="148">
        <v>30000</v>
      </c>
      <c r="L169" s="44" t="s">
        <v>218</v>
      </c>
      <c r="M169" s="307" t="s">
        <v>590</v>
      </c>
      <c r="N169" s="146">
        <v>46157</v>
      </c>
      <c r="O169" s="146" t="s">
        <v>197</v>
      </c>
      <c r="P169" s="146" t="s">
        <v>273</v>
      </c>
      <c r="Q169" s="146">
        <v>46157</v>
      </c>
      <c r="R169" s="146">
        <v>46154</v>
      </c>
      <c r="S169" s="146" t="s">
        <v>856</v>
      </c>
      <c r="T169" s="146" t="s">
        <v>621</v>
      </c>
      <c r="U169" s="146" t="s">
        <v>857</v>
      </c>
      <c r="V169" s="146" t="s">
        <v>474</v>
      </c>
      <c r="W169" s="146" t="s">
        <v>858</v>
      </c>
      <c r="X169" s="172" t="s">
        <v>273</v>
      </c>
      <c r="Y169" s="172"/>
    </row>
    <row r="170" spans="1:25" ht="27" customHeight="1" x14ac:dyDescent="0.15">
      <c r="A170" s="44">
        <v>2025</v>
      </c>
      <c r="B170" s="44">
        <v>174</v>
      </c>
      <c r="C170" s="44" t="s">
        <v>1118</v>
      </c>
      <c r="D170" s="44" t="s">
        <v>367</v>
      </c>
      <c r="E170" s="145" t="s">
        <v>1119</v>
      </c>
      <c r="F170" s="145" t="s">
        <v>1120</v>
      </c>
      <c r="G170" s="146">
        <v>46125</v>
      </c>
      <c r="H170" s="147">
        <v>46125</v>
      </c>
      <c r="I170" s="147" t="s">
        <v>248</v>
      </c>
      <c r="J170" s="147">
        <v>46157</v>
      </c>
      <c r="K170" s="148">
        <v>15000000</v>
      </c>
      <c r="L170" s="44" t="s">
        <v>218</v>
      </c>
      <c r="M170" s="307"/>
      <c r="N170" s="146">
        <v>46160</v>
      </c>
      <c r="O170" s="146" t="s">
        <v>1121</v>
      </c>
      <c r="P170" s="146" t="s">
        <v>321</v>
      </c>
      <c r="Q170" s="146">
        <v>46157</v>
      </c>
      <c r="R170" s="146">
        <v>46125</v>
      </c>
      <c r="S170" s="146" t="s">
        <v>1122</v>
      </c>
      <c r="T170" s="146" t="s">
        <v>239</v>
      </c>
      <c r="U170" s="146" t="s">
        <v>240</v>
      </c>
      <c r="V170" s="146"/>
      <c r="W170" s="146"/>
      <c r="X170" s="172" t="s">
        <v>1123</v>
      </c>
      <c r="Y170" s="172"/>
    </row>
    <row r="171" spans="1:25" ht="27" customHeight="1" x14ac:dyDescent="0.15">
      <c r="A171" s="308">
        <v>2025</v>
      </c>
      <c r="B171" s="308">
        <v>175</v>
      </c>
      <c r="C171" s="308" t="s">
        <v>1118</v>
      </c>
      <c r="D171" s="308" t="s">
        <v>1059</v>
      </c>
      <c r="E171" s="309" t="s">
        <v>1124</v>
      </c>
      <c r="F171" s="309" t="s">
        <v>1125</v>
      </c>
      <c r="G171" s="310">
        <v>46113</v>
      </c>
      <c r="H171" s="311">
        <v>46143</v>
      </c>
      <c r="I171" s="311" t="s">
        <v>248</v>
      </c>
      <c r="J171" s="311"/>
      <c r="K171" s="312">
        <v>505150000</v>
      </c>
      <c r="L171" s="308" t="s">
        <v>218</v>
      </c>
      <c r="M171" s="313"/>
      <c r="N171" s="310">
        <v>46160</v>
      </c>
      <c r="O171" s="310" t="s">
        <v>1136</v>
      </c>
      <c r="P171" s="310" t="s">
        <v>1137</v>
      </c>
      <c r="Q171" s="310">
        <v>46204</v>
      </c>
      <c r="R171" s="310">
        <v>46174</v>
      </c>
      <c r="S171" s="310" t="s">
        <v>236</v>
      </c>
      <c r="T171" s="310" t="s">
        <v>239</v>
      </c>
      <c r="U171" s="310" t="s">
        <v>240</v>
      </c>
      <c r="V171" s="310"/>
      <c r="W171" s="310"/>
      <c r="X171" s="314" t="s">
        <v>1138</v>
      </c>
      <c r="Y171" s="314"/>
    </row>
    <row r="172" spans="1:25" ht="27" customHeight="1" x14ac:dyDescent="0.15">
      <c r="A172" s="88">
        <v>2025</v>
      </c>
      <c r="B172" s="88">
        <v>176</v>
      </c>
      <c r="C172" s="88" t="s">
        <v>209</v>
      </c>
      <c r="D172" s="88" t="s">
        <v>1126</v>
      </c>
      <c r="E172" s="86" t="s">
        <v>1127</v>
      </c>
      <c r="F172" s="86" t="s">
        <v>905</v>
      </c>
      <c r="G172" s="89">
        <v>46139</v>
      </c>
      <c r="H172" s="90">
        <v>46169</v>
      </c>
      <c r="I172" s="90" t="s">
        <v>218</v>
      </c>
      <c r="J172" s="90">
        <v>46139</v>
      </c>
      <c r="K172" s="91">
        <v>123000</v>
      </c>
      <c r="L172" s="88" t="s">
        <v>218</v>
      </c>
      <c r="M172" s="92"/>
      <c r="N172" s="89"/>
      <c r="O172" s="89"/>
      <c r="P172" s="89"/>
      <c r="Q172" s="89"/>
      <c r="R172" s="89"/>
      <c r="S172" s="89"/>
      <c r="T172" s="89"/>
      <c r="U172" s="89"/>
      <c r="V172" s="89"/>
      <c r="W172" s="89"/>
      <c r="X172" s="93"/>
      <c r="Y172" s="93"/>
    </row>
    <row r="173" spans="1:25" ht="27" customHeight="1" x14ac:dyDescent="0.15">
      <c r="A173" s="88">
        <v>2025</v>
      </c>
      <c r="B173" s="88">
        <v>177</v>
      </c>
      <c r="C173" s="88" t="s">
        <v>1053</v>
      </c>
      <c r="D173" s="88" t="s">
        <v>1128</v>
      </c>
      <c r="E173" s="86" t="s">
        <v>1119</v>
      </c>
      <c r="F173" s="86" t="s">
        <v>1129</v>
      </c>
      <c r="G173" s="89">
        <v>46143</v>
      </c>
      <c r="H173" s="90">
        <v>46143</v>
      </c>
      <c r="I173" s="90" t="s">
        <v>248</v>
      </c>
      <c r="J173" s="90">
        <v>46143</v>
      </c>
      <c r="K173" s="91">
        <v>500000</v>
      </c>
      <c r="L173" s="88" t="s">
        <v>248</v>
      </c>
      <c r="M173" s="92" t="s">
        <v>1130</v>
      </c>
      <c r="N173" s="89"/>
      <c r="O173" s="89"/>
      <c r="P173" s="89"/>
      <c r="Q173" s="89"/>
      <c r="R173" s="89"/>
      <c r="S173" s="89"/>
      <c r="T173" s="89"/>
      <c r="U173" s="89"/>
      <c r="V173" s="89"/>
      <c r="W173" s="89"/>
      <c r="X173" s="93"/>
      <c r="Y173" s="93"/>
    </row>
  </sheetData>
  <sheetProtection sort="0" autoFilter="0"/>
  <mergeCells count="2">
    <mergeCell ref="A1:C1"/>
    <mergeCell ref="A2:D2"/>
  </mergeCells>
  <phoneticPr fontId="3"/>
  <conditionalFormatting sqref="C8 E8:M8 C126 E126:M126 E129:M129 C129 C132 E132:M132 E146:M146 C146">
    <cfRule type="expression" dxfId="1222" priority="575" stopIfTrue="1">
      <formula>ISERROR</formula>
    </cfRule>
  </conditionalFormatting>
  <conditionalFormatting sqref="N8:Y8 C126:Y126 C129:Y129 C132:Y132 C146:Y146">
    <cfRule type="cellIs" dxfId="1221" priority="572" stopIfTrue="1" operator="equal">
      <formula>0</formula>
    </cfRule>
  </conditionalFormatting>
  <conditionalFormatting sqref="D8:M8">
    <cfRule type="cellIs" dxfId="1220" priority="573" stopIfTrue="1" operator="equal">
      <formula>0</formula>
    </cfRule>
  </conditionalFormatting>
  <conditionalFormatting sqref="A2 C3:J3 C8">
    <cfRule type="cellIs" dxfId="1219" priority="574" stopIfTrue="1" operator="equal">
      <formula>0</formula>
    </cfRule>
  </conditionalFormatting>
  <conditionalFormatting sqref="L3:Y3 L8">
    <cfRule type="cellIs" dxfId="1218" priority="571" stopIfTrue="1" operator="equal">
      <formula>0</formula>
    </cfRule>
  </conditionalFormatting>
  <conditionalFormatting sqref="L8">
    <cfRule type="cellIs" dxfId="1217" priority="570" stopIfTrue="1" operator="equal">
      <formula>0</formula>
    </cfRule>
  </conditionalFormatting>
  <conditionalFormatting sqref="I8">
    <cfRule type="cellIs" dxfId="1216" priority="569" stopIfTrue="1" operator="equal">
      <formula>0</formula>
    </cfRule>
  </conditionalFormatting>
  <conditionalFormatting sqref="C4:J4">
    <cfRule type="cellIs" dxfId="1215" priority="568" stopIfTrue="1" operator="equal">
      <formula>0</formula>
    </cfRule>
  </conditionalFormatting>
  <conditionalFormatting sqref="L4:Y4">
    <cfRule type="cellIs" dxfId="1214" priority="567" stopIfTrue="1" operator="equal">
      <formula>0</formula>
    </cfRule>
  </conditionalFormatting>
  <conditionalFormatting sqref="C5 E5:F5 I5:M5">
    <cfRule type="expression" dxfId="1213" priority="566" stopIfTrue="1">
      <formula>ISERROR</formula>
    </cfRule>
  </conditionalFormatting>
  <conditionalFormatting sqref="N5:Y5">
    <cfRule type="cellIs" dxfId="1212" priority="563" stopIfTrue="1" operator="equal">
      <formula>0</formula>
    </cfRule>
  </conditionalFormatting>
  <conditionalFormatting sqref="D5:F5 I5:M5">
    <cfRule type="cellIs" dxfId="1211" priority="564" stopIfTrue="1" operator="equal">
      <formula>0</formula>
    </cfRule>
  </conditionalFormatting>
  <conditionalFormatting sqref="C5">
    <cfRule type="cellIs" dxfId="1210" priority="565" stopIfTrue="1" operator="equal">
      <formula>0</formula>
    </cfRule>
  </conditionalFormatting>
  <conditionalFormatting sqref="L5">
    <cfRule type="cellIs" dxfId="1209" priority="562" stopIfTrue="1" operator="equal">
      <formula>0</formula>
    </cfRule>
  </conditionalFormatting>
  <conditionalFormatting sqref="L5">
    <cfRule type="cellIs" dxfId="1208" priority="561" stopIfTrue="1" operator="equal">
      <formula>0</formula>
    </cfRule>
  </conditionalFormatting>
  <conditionalFormatting sqref="I5">
    <cfRule type="cellIs" dxfId="1207" priority="560" stopIfTrue="1" operator="equal">
      <formula>0</formula>
    </cfRule>
  </conditionalFormatting>
  <conditionalFormatting sqref="G5:H5">
    <cfRule type="expression" dxfId="1206" priority="559" stopIfTrue="1">
      <formula>ISERROR</formula>
    </cfRule>
  </conditionalFormatting>
  <conditionalFormatting sqref="G5:H5">
    <cfRule type="cellIs" dxfId="1205" priority="558" stopIfTrue="1" operator="equal">
      <formula>0</formula>
    </cfRule>
  </conditionalFormatting>
  <conditionalFormatting sqref="C6 E6:M6">
    <cfRule type="expression" dxfId="1204" priority="557" stopIfTrue="1">
      <formula>ISERROR</formula>
    </cfRule>
  </conditionalFormatting>
  <conditionalFormatting sqref="N6:Y6">
    <cfRule type="cellIs" dxfId="1203" priority="554" stopIfTrue="1" operator="equal">
      <formula>0</formula>
    </cfRule>
  </conditionalFormatting>
  <conditionalFormatting sqref="D6:M6">
    <cfRule type="cellIs" dxfId="1202" priority="555" stopIfTrue="1" operator="equal">
      <formula>0</formula>
    </cfRule>
  </conditionalFormatting>
  <conditionalFormatting sqref="C6">
    <cfRule type="cellIs" dxfId="1201" priority="556" stopIfTrue="1" operator="equal">
      <formula>0</formula>
    </cfRule>
  </conditionalFormatting>
  <conditionalFormatting sqref="L6">
    <cfRule type="cellIs" dxfId="1200" priority="553" stopIfTrue="1" operator="equal">
      <formula>0</formula>
    </cfRule>
  </conditionalFormatting>
  <conditionalFormatting sqref="L6">
    <cfRule type="cellIs" dxfId="1199" priority="552" stopIfTrue="1" operator="equal">
      <formula>0</formula>
    </cfRule>
  </conditionalFormatting>
  <conditionalFormatting sqref="I6">
    <cfRule type="cellIs" dxfId="1198" priority="551" stopIfTrue="1" operator="equal">
      <formula>0</formula>
    </cfRule>
  </conditionalFormatting>
  <conditionalFormatting sqref="C7 E7:M7">
    <cfRule type="expression" dxfId="1197" priority="550" stopIfTrue="1">
      <formula>ISERROR</formula>
    </cfRule>
  </conditionalFormatting>
  <conditionalFormatting sqref="N7:Y7">
    <cfRule type="cellIs" dxfId="1196" priority="547" stopIfTrue="1" operator="equal">
      <formula>0</formula>
    </cfRule>
  </conditionalFormatting>
  <conditionalFormatting sqref="D7:M7">
    <cfRule type="cellIs" dxfId="1195" priority="548" stopIfTrue="1" operator="equal">
      <formula>0</formula>
    </cfRule>
  </conditionalFormatting>
  <conditionalFormatting sqref="C7">
    <cfRule type="cellIs" dxfId="1194" priority="549" stopIfTrue="1" operator="equal">
      <formula>0</formula>
    </cfRule>
  </conditionalFormatting>
  <conditionalFormatting sqref="L7">
    <cfRule type="cellIs" dxfId="1193" priority="546" stopIfTrue="1" operator="equal">
      <formula>0</formula>
    </cfRule>
  </conditionalFormatting>
  <conditionalFormatting sqref="L7">
    <cfRule type="cellIs" dxfId="1192" priority="545" stopIfTrue="1" operator="equal">
      <formula>0</formula>
    </cfRule>
  </conditionalFormatting>
  <conditionalFormatting sqref="I7">
    <cfRule type="cellIs" dxfId="1191" priority="544" stopIfTrue="1" operator="equal">
      <formula>0</formula>
    </cfRule>
  </conditionalFormatting>
  <conditionalFormatting sqref="C9 E9:M9">
    <cfRule type="expression" dxfId="1190" priority="543" stopIfTrue="1">
      <formula>ISERROR</formula>
    </cfRule>
  </conditionalFormatting>
  <conditionalFormatting sqref="N9:Y9">
    <cfRule type="cellIs" dxfId="1189" priority="540" stopIfTrue="1" operator="equal">
      <formula>0</formula>
    </cfRule>
  </conditionalFormatting>
  <conditionalFormatting sqref="D9:M9">
    <cfRule type="cellIs" dxfId="1188" priority="541" stopIfTrue="1" operator="equal">
      <formula>0</formula>
    </cfRule>
  </conditionalFormatting>
  <conditionalFormatting sqref="C9">
    <cfRule type="cellIs" dxfId="1187" priority="542" stopIfTrue="1" operator="equal">
      <formula>0</formula>
    </cfRule>
  </conditionalFormatting>
  <conditionalFormatting sqref="L9">
    <cfRule type="cellIs" dxfId="1186" priority="539" stopIfTrue="1" operator="equal">
      <formula>0</formula>
    </cfRule>
  </conditionalFormatting>
  <conditionalFormatting sqref="L9">
    <cfRule type="cellIs" dxfId="1185" priority="538" stopIfTrue="1" operator="equal">
      <formula>0</formula>
    </cfRule>
  </conditionalFormatting>
  <conditionalFormatting sqref="I9">
    <cfRule type="cellIs" dxfId="1184" priority="537" stopIfTrue="1" operator="equal">
      <formula>0</formula>
    </cfRule>
  </conditionalFormatting>
  <conditionalFormatting sqref="C10 E10:M10">
    <cfRule type="expression" dxfId="1183" priority="536" stopIfTrue="1">
      <formula>ISERROR</formula>
    </cfRule>
  </conditionalFormatting>
  <conditionalFormatting sqref="N10:Y10">
    <cfRule type="cellIs" dxfId="1182" priority="533" stopIfTrue="1" operator="equal">
      <formula>0</formula>
    </cfRule>
  </conditionalFormatting>
  <conditionalFormatting sqref="D10:M10">
    <cfRule type="cellIs" dxfId="1181" priority="534" stopIfTrue="1" operator="equal">
      <formula>0</formula>
    </cfRule>
  </conditionalFormatting>
  <conditionalFormatting sqref="C10">
    <cfRule type="cellIs" dxfId="1180" priority="535" stopIfTrue="1" operator="equal">
      <formula>0</formula>
    </cfRule>
  </conditionalFormatting>
  <conditionalFormatting sqref="L10">
    <cfRule type="cellIs" dxfId="1179" priority="532" stopIfTrue="1" operator="equal">
      <formula>0</formula>
    </cfRule>
  </conditionalFormatting>
  <conditionalFormatting sqref="L10">
    <cfRule type="cellIs" dxfId="1178" priority="531" stopIfTrue="1" operator="equal">
      <formula>0</formula>
    </cfRule>
  </conditionalFormatting>
  <conditionalFormatting sqref="I10">
    <cfRule type="cellIs" dxfId="1177" priority="530" stopIfTrue="1" operator="equal">
      <formula>0</formula>
    </cfRule>
  </conditionalFormatting>
  <conditionalFormatting sqref="C11 E11:M11">
    <cfRule type="expression" dxfId="1176" priority="529" stopIfTrue="1">
      <formula>ISERROR</formula>
    </cfRule>
  </conditionalFormatting>
  <conditionalFormatting sqref="N11:Y11">
    <cfRule type="cellIs" dxfId="1175" priority="526" stopIfTrue="1" operator="equal">
      <formula>0</formula>
    </cfRule>
  </conditionalFormatting>
  <conditionalFormatting sqref="D11:M11">
    <cfRule type="cellIs" dxfId="1174" priority="527" stopIfTrue="1" operator="equal">
      <formula>0</formula>
    </cfRule>
  </conditionalFormatting>
  <conditionalFormatting sqref="C11">
    <cfRule type="cellIs" dxfId="1173" priority="528" stopIfTrue="1" operator="equal">
      <formula>0</formula>
    </cfRule>
  </conditionalFormatting>
  <conditionalFormatting sqref="L11">
    <cfRule type="cellIs" dxfId="1172" priority="525" stopIfTrue="1" operator="equal">
      <formula>0</formula>
    </cfRule>
  </conditionalFormatting>
  <conditionalFormatting sqref="L11">
    <cfRule type="cellIs" dxfId="1171" priority="524" stopIfTrue="1" operator="equal">
      <formula>0</formula>
    </cfRule>
  </conditionalFormatting>
  <conditionalFormatting sqref="I11">
    <cfRule type="cellIs" dxfId="1170" priority="523" stopIfTrue="1" operator="equal">
      <formula>0</formula>
    </cfRule>
  </conditionalFormatting>
  <conditionalFormatting sqref="C12 E12:M12">
    <cfRule type="expression" dxfId="1169" priority="522" stopIfTrue="1">
      <formula>ISERROR</formula>
    </cfRule>
  </conditionalFormatting>
  <conditionalFormatting sqref="N12:Y12">
    <cfRule type="cellIs" dxfId="1168" priority="519" stopIfTrue="1" operator="equal">
      <formula>0</formula>
    </cfRule>
  </conditionalFormatting>
  <conditionalFormatting sqref="D12:M12">
    <cfRule type="cellIs" dxfId="1167" priority="520" stopIfTrue="1" operator="equal">
      <formula>0</formula>
    </cfRule>
  </conditionalFormatting>
  <conditionalFormatting sqref="C12">
    <cfRule type="cellIs" dxfId="1166" priority="521" stopIfTrue="1" operator="equal">
      <formula>0</formula>
    </cfRule>
  </conditionalFormatting>
  <conditionalFormatting sqref="L12">
    <cfRule type="cellIs" dxfId="1165" priority="518" stopIfTrue="1" operator="equal">
      <formula>0</formula>
    </cfRule>
  </conditionalFormatting>
  <conditionalFormatting sqref="L12">
    <cfRule type="cellIs" dxfId="1164" priority="517" stopIfTrue="1" operator="equal">
      <formula>0</formula>
    </cfRule>
  </conditionalFormatting>
  <conditionalFormatting sqref="I12">
    <cfRule type="cellIs" dxfId="1163" priority="516" stopIfTrue="1" operator="equal">
      <formula>0</formula>
    </cfRule>
  </conditionalFormatting>
  <conditionalFormatting sqref="C13 E13:M13">
    <cfRule type="expression" dxfId="1162" priority="515" stopIfTrue="1">
      <formula>ISERROR</formula>
    </cfRule>
  </conditionalFormatting>
  <conditionalFormatting sqref="N13:Y13">
    <cfRule type="cellIs" dxfId="1161" priority="512" stopIfTrue="1" operator="equal">
      <formula>0</formula>
    </cfRule>
  </conditionalFormatting>
  <conditionalFormatting sqref="D13:M13">
    <cfRule type="cellIs" dxfId="1160" priority="513" stopIfTrue="1" operator="equal">
      <formula>0</formula>
    </cfRule>
  </conditionalFormatting>
  <conditionalFormatting sqref="C13">
    <cfRule type="cellIs" dxfId="1159" priority="514" stopIfTrue="1" operator="equal">
      <formula>0</formula>
    </cfRule>
  </conditionalFormatting>
  <conditionalFormatting sqref="L13">
    <cfRule type="cellIs" dxfId="1158" priority="511" stopIfTrue="1" operator="equal">
      <formula>0</formula>
    </cfRule>
  </conditionalFormatting>
  <conditionalFormatting sqref="L13">
    <cfRule type="cellIs" dxfId="1157" priority="510" stopIfTrue="1" operator="equal">
      <formula>0</formula>
    </cfRule>
  </conditionalFormatting>
  <conditionalFormatting sqref="I13">
    <cfRule type="cellIs" dxfId="1156" priority="509" stopIfTrue="1" operator="equal">
      <formula>0</formula>
    </cfRule>
  </conditionalFormatting>
  <conditionalFormatting sqref="C14 E14:M14">
    <cfRule type="expression" dxfId="1155" priority="508" stopIfTrue="1">
      <formula>ISERROR</formula>
    </cfRule>
  </conditionalFormatting>
  <conditionalFormatting sqref="N14:Y14">
    <cfRule type="cellIs" dxfId="1154" priority="505" stopIfTrue="1" operator="equal">
      <formula>0</formula>
    </cfRule>
  </conditionalFormatting>
  <conditionalFormatting sqref="D14:H14 J14:M14">
    <cfRule type="cellIs" dxfId="1153" priority="506" stopIfTrue="1" operator="equal">
      <formula>0</formula>
    </cfRule>
  </conditionalFormatting>
  <conditionalFormatting sqref="C14">
    <cfRule type="cellIs" dxfId="1152" priority="507" stopIfTrue="1" operator="equal">
      <formula>0</formula>
    </cfRule>
  </conditionalFormatting>
  <conditionalFormatting sqref="L14">
    <cfRule type="cellIs" dxfId="1151" priority="504" stopIfTrue="1" operator="equal">
      <formula>0</formula>
    </cfRule>
  </conditionalFormatting>
  <conditionalFormatting sqref="L14">
    <cfRule type="cellIs" dxfId="1150" priority="503" stopIfTrue="1" operator="equal">
      <formula>0</formula>
    </cfRule>
  </conditionalFormatting>
  <conditionalFormatting sqref="I14">
    <cfRule type="cellIs" dxfId="1149" priority="502" stopIfTrue="1" operator="equal">
      <formula>0</formula>
    </cfRule>
  </conditionalFormatting>
  <conditionalFormatting sqref="C15 E15:M15">
    <cfRule type="expression" dxfId="1148" priority="501" stopIfTrue="1">
      <formula>ISERROR</formula>
    </cfRule>
  </conditionalFormatting>
  <conditionalFormatting sqref="N15:Y15">
    <cfRule type="cellIs" dxfId="1147" priority="498" stopIfTrue="1" operator="equal">
      <formula>0</formula>
    </cfRule>
  </conditionalFormatting>
  <conditionalFormatting sqref="D15:M15">
    <cfRule type="cellIs" dxfId="1146" priority="499" stopIfTrue="1" operator="equal">
      <formula>0</formula>
    </cfRule>
  </conditionalFormatting>
  <conditionalFormatting sqref="C15">
    <cfRule type="cellIs" dxfId="1145" priority="500" stopIfTrue="1" operator="equal">
      <formula>0</formula>
    </cfRule>
  </conditionalFormatting>
  <conditionalFormatting sqref="L15">
    <cfRule type="cellIs" dxfId="1144" priority="497" stopIfTrue="1" operator="equal">
      <formula>0</formula>
    </cfRule>
  </conditionalFormatting>
  <conditionalFormatting sqref="L15">
    <cfRule type="cellIs" dxfId="1143" priority="496" stopIfTrue="1" operator="equal">
      <formula>0</formula>
    </cfRule>
  </conditionalFormatting>
  <conditionalFormatting sqref="C16 E16:F16 L16:M16">
    <cfRule type="expression" dxfId="1142" priority="495" stopIfTrue="1">
      <formula>ISERROR</formula>
    </cfRule>
  </conditionalFormatting>
  <conditionalFormatting sqref="N16:Y16">
    <cfRule type="cellIs" dxfId="1141" priority="492" stopIfTrue="1" operator="equal">
      <formula>0</formula>
    </cfRule>
  </conditionalFormatting>
  <conditionalFormatting sqref="D16:F16 L16:M16">
    <cfRule type="cellIs" dxfId="1140" priority="493" stopIfTrue="1" operator="equal">
      <formula>0</formula>
    </cfRule>
  </conditionalFormatting>
  <conditionalFormatting sqref="C16">
    <cfRule type="cellIs" dxfId="1139" priority="494" stopIfTrue="1" operator="equal">
      <formula>0</formula>
    </cfRule>
  </conditionalFormatting>
  <conditionalFormatting sqref="L16">
    <cfRule type="cellIs" dxfId="1138" priority="491" stopIfTrue="1" operator="equal">
      <formula>0</formula>
    </cfRule>
  </conditionalFormatting>
  <conditionalFormatting sqref="L16">
    <cfRule type="cellIs" dxfId="1137" priority="490" stopIfTrue="1" operator="equal">
      <formula>0</formula>
    </cfRule>
  </conditionalFormatting>
  <conditionalFormatting sqref="G16:K16">
    <cfRule type="expression" dxfId="1136" priority="489" stopIfTrue="1">
      <formula>ISERROR</formula>
    </cfRule>
  </conditionalFormatting>
  <conditionalFormatting sqref="G16:K16">
    <cfRule type="cellIs" dxfId="1135" priority="488" stopIfTrue="1" operator="equal">
      <formula>0</formula>
    </cfRule>
  </conditionalFormatting>
  <conditionalFormatting sqref="C17 E17:M17">
    <cfRule type="expression" dxfId="1134" priority="487" stopIfTrue="1">
      <formula>ISERROR</formula>
    </cfRule>
  </conditionalFormatting>
  <conditionalFormatting sqref="N17:Y17">
    <cfRule type="cellIs" dxfId="1133" priority="484" stopIfTrue="1" operator="equal">
      <formula>0</formula>
    </cfRule>
  </conditionalFormatting>
  <conditionalFormatting sqref="M17 D17:K17">
    <cfRule type="cellIs" dxfId="1132" priority="485" stopIfTrue="1" operator="equal">
      <formula>0</formula>
    </cfRule>
  </conditionalFormatting>
  <conditionalFormatting sqref="C17">
    <cfRule type="cellIs" dxfId="1131" priority="486" stopIfTrue="1" operator="equal">
      <formula>0</formula>
    </cfRule>
  </conditionalFormatting>
  <conditionalFormatting sqref="L17">
    <cfRule type="cellIs" dxfId="1130" priority="483" stopIfTrue="1" operator="equal">
      <formula>0</formula>
    </cfRule>
  </conditionalFormatting>
  <conditionalFormatting sqref="C18 E18:M18">
    <cfRule type="expression" dxfId="1129" priority="482" stopIfTrue="1">
      <formula>ISERROR</formula>
    </cfRule>
  </conditionalFormatting>
  <conditionalFormatting sqref="N18:Y18">
    <cfRule type="cellIs" dxfId="1128" priority="478" stopIfTrue="1" operator="equal">
      <formula>0</formula>
    </cfRule>
  </conditionalFormatting>
  <conditionalFormatting sqref="M18 D18:K18">
    <cfRule type="cellIs" dxfId="1127" priority="479" stopIfTrue="1" operator="equal">
      <formula>0</formula>
    </cfRule>
  </conditionalFormatting>
  <conditionalFormatting sqref="F18:J18">
    <cfRule type="expression" dxfId="1126" priority="481" stopIfTrue="1">
      <formula>ISERROR</formula>
    </cfRule>
  </conditionalFormatting>
  <conditionalFormatting sqref="C18">
    <cfRule type="cellIs" dxfId="1125" priority="480" stopIfTrue="1" operator="equal">
      <formula>0</formula>
    </cfRule>
  </conditionalFormatting>
  <conditionalFormatting sqref="L18">
    <cfRule type="cellIs" dxfId="1124" priority="477" stopIfTrue="1" operator="equal">
      <formula>0</formula>
    </cfRule>
  </conditionalFormatting>
  <conditionalFormatting sqref="C19 E19:M19">
    <cfRule type="expression" dxfId="1123" priority="476" stopIfTrue="1">
      <formula>ISERROR</formula>
    </cfRule>
  </conditionalFormatting>
  <conditionalFormatting sqref="N19:Y19">
    <cfRule type="cellIs" dxfId="1122" priority="473" stopIfTrue="1" operator="equal">
      <formula>0</formula>
    </cfRule>
  </conditionalFormatting>
  <conditionalFormatting sqref="M19 D19:K19">
    <cfRule type="cellIs" dxfId="1121" priority="474" stopIfTrue="1" operator="equal">
      <formula>0</formula>
    </cfRule>
  </conditionalFormatting>
  <conditionalFormatting sqref="C19">
    <cfRule type="cellIs" dxfId="1120" priority="475" stopIfTrue="1" operator="equal">
      <formula>0</formula>
    </cfRule>
  </conditionalFormatting>
  <conditionalFormatting sqref="L19">
    <cfRule type="cellIs" dxfId="1119" priority="472" stopIfTrue="1" operator="equal">
      <formula>0</formula>
    </cfRule>
  </conditionalFormatting>
  <conditionalFormatting sqref="I19">
    <cfRule type="cellIs" dxfId="1118" priority="471" stopIfTrue="1" operator="equal">
      <formula>0</formula>
    </cfRule>
  </conditionalFormatting>
  <conditionalFormatting sqref="C20 M20 E20:K20">
    <cfRule type="expression" dxfId="1117" priority="470" stopIfTrue="1">
      <formula>ISERROR</formula>
    </cfRule>
  </conditionalFormatting>
  <conditionalFormatting sqref="N20:Y20">
    <cfRule type="cellIs" dxfId="1116" priority="467" stopIfTrue="1" operator="equal">
      <formula>0</formula>
    </cfRule>
  </conditionalFormatting>
  <conditionalFormatting sqref="M20 D20:K20">
    <cfRule type="cellIs" dxfId="1115" priority="468" stopIfTrue="1" operator="equal">
      <formula>0</formula>
    </cfRule>
  </conditionalFormatting>
  <conditionalFormatting sqref="C20">
    <cfRule type="cellIs" dxfId="1114" priority="469" stopIfTrue="1" operator="equal">
      <formula>0</formula>
    </cfRule>
  </conditionalFormatting>
  <conditionalFormatting sqref="K20:L20">
    <cfRule type="cellIs" dxfId="1113" priority="466" stopIfTrue="1" operator="equal">
      <formula>0</formula>
    </cfRule>
  </conditionalFormatting>
  <conditionalFormatting sqref="L20">
    <cfRule type="expression" dxfId="1112" priority="464" stopIfTrue="1">
      <formula>ISERROR</formula>
    </cfRule>
  </conditionalFormatting>
  <conditionalFormatting sqref="L20">
    <cfRule type="cellIs" dxfId="1111" priority="465" stopIfTrue="1" operator="equal">
      <formula>0</formula>
    </cfRule>
  </conditionalFormatting>
  <conditionalFormatting sqref="C21 E21:M21">
    <cfRule type="expression" dxfId="1110" priority="463" stopIfTrue="1">
      <formula>ISERROR</formula>
    </cfRule>
  </conditionalFormatting>
  <conditionalFormatting sqref="N21:Y21">
    <cfRule type="cellIs" dxfId="1109" priority="460" stopIfTrue="1" operator="equal">
      <formula>0</formula>
    </cfRule>
  </conditionalFormatting>
  <conditionalFormatting sqref="M21 D21:K21">
    <cfRule type="cellIs" dxfId="1108" priority="461" stopIfTrue="1" operator="equal">
      <formula>0</formula>
    </cfRule>
  </conditionalFormatting>
  <conditionalFormatting sqref="C21">
    <cfRule type="cellIs" dxfId="1107" priority="462" stopIfTrue="1" operator="equal">
      <formula>0</formula>
    </cfRule>
  </conditionalFormatting>
  <conditionalFormatting sqref="L21">
    <cfRule type="cellIs" dxfId="1106" priority="459" stopIfTrue="1" operator="equal">
      <formula>0</formula>
    </cfRule>
  </conditionalFormatting>
  <conditionalFormatting sqref="C22 E22:M22">
    <cfRule type="expression" dxfId="1105" priority="458" stopIfTrue="1">
      <formula>ISERROR</formula>
    </cfRule>
  </conditionalFormatting>
  <conditionalFormatting sqref="N22:Y22">
    <cfRule type="cellIs" dxfId="1104" priority="455" stopIfTrue="1" operator="equal">
      <formula>0</formula>
    </cfRule>
  </conditionalFormatting>
  <conditionalFormatting sqref="M22 D22:H22 J22:K22">
    <cfRule type="cellIs" dxfId="1103" priority="456" stopIfTrue="1" operator="equal">
      <formula>0</formula>
    </cfRule>
  </conditionalFormatting>
  <conditionalFormatting sqref="C22">
    <cfRule type="cellIs" dxfId="1102" priority="457" stopIfTrue="1" operator="equal">
      <formula>0</formula>
    </cfRule>
  </conditionalFormatting>
  <conditionalFormatting sqref="L22">
    <cfRule type="cellIs" dxfId="1101" priority="454" stopIfTrue="1" operator="equal">
      <formula>0</formula>
    </cfRule>
  </conditionalFormatting>
  <conditionalFormatting sqref="I22">
    <cfRule type="cellIs" dxfId="1100" priority="453" stopIfTrue="1" operator="equal">
      <formula>0</formula>
    </cfRule>
  </conditionalFormatting>
  <conditionalFormatting sqref="L23">
    <cfRule type="expression" dxfId="1099" priority="452" stopIfTrue="1">
      <formula>ISERROR</formula>
    </cfRule>
  </conditionalFormatting>
  <conditionalFormatting sqref="N23:Y23">
    <cfRule type="cellIs" dxfId="1098" priority="448" stopIfTrue="1" operator="equal">
      <formula>0</formula>
    </cfRule>
  </conditionalFormatting>
  <conditionalFormatting sqref="M23 D23">
    <cfRule type="cellIs" dxfId="1097" priority="450" stopIfTrue="1" operator="equal">
      <formula>0</formula>
    </cfRule>
  </conditionalFormatting>
  <conditionalFormatting sqref="M23">
    <cfRule type="expression" dxfId="1096" priority="449" stopIfTrue="1">
      <formula>ISERROR</formula>
    </cfRule>
  </conditionalFormatting>
  <conditionalFormatting sqref="C23">
    <cfRule type="cellIs" dxfId="1095" priority="451" stopIfTrue="1" operator="equal">
      <formula>0</formula>
    </cfRule>
  </conditionalFormatting>
  <conditionalFormatting sqref="L23">
    <cfRule type="cellIs" dxfId="1094" priority="447" stopIfTrue="1" operator="equal">
      <formula>0</formula>
    </cfRule>
  </conditionalFormatting>
  <conditionalFormatting sqref="E23:K23">
    <cfRule type="expression" dxfId="1093" priority="444" stopIfTrue="1">
      <formula>ISERROR</formula>
    </cfRule>
  </conditionalFormatting>
  <conditionalFormatting sqref="I23">
    <cfRule type="expression" dxfId="1092" priority="446" stopIfTrue="1">
      <formula>ISERROR</formula>
    </cfRule>
  </conditionalFormatting>
  <conditionalFormatting sqref="E23:K23">
    <cfRule type="cellIs" dxfId="1091" priority="445" stopIfTrue="1" operator="equal">
      <formula>0</formula>
    </cfRule>
  </conditionalFormatting>
  <conditionalFormatting sqref="L24 I24">
    <cfRule type="expression" dxfId="1090" priority="443" stopIfTrue="1">
      <formula>ISERROR</formula>
    </cfRule>
  </conditionalFormatting>
  <conditionalFormatting sqref="N24:Y24">
    <cfRule type="cellIs" dxfId="1089" priority="439" stopIfTrue="1" operator="equal">
      <formula>0</formula>
    </cfRule>
  </conditionalFormatting>
  <conditionalFormatting sqref="M24 D24:H24 J24:K24">
    <cfRule type="cellIs" dxfId="1088" priority="441" stopIfTrue="1" operator="equal">
      <formula>0</formula>
    </cfRule>
  </conditionalFormatting>
  <conditionalFormatting sqref="M24 E24:H24 J24:K24">
    <cfRule type="expression" dxfId="1087" priority="440" stopIfTrue="1">
      <formula>ISERROR</formula>
    </cfRule>
  </conditionalFormatting>
  <conditionalFormatting sqref="C24">
    <cfRule type="cellIs" dxfId="1086" priority="442" stopIfTrue="1" operator="equal">
      <formula>0</formula>
    </cfRule>
  </conditionalFormatting>
  <conditionalFormatting sqref="L24">
    <cfRule type="cellIs" dxfId="1085" priority="438" stopIfTrue="1" operator="equal">
      <formula>0</formula>
    </cfRule>
  </conditionalFormatting>
  <conditionalFormatting sqref="I24">
    <cfRule type="cellIs" dxfId="1084" priority="437" stopIfTrue="1" operator="equal">
      <formula>0</formula>
    </cfRule>
  </conditionalFormatting>
  <conditionalFormatting sqref="L25 I25">
    <cfRule type="expression" dxfId="1083" priority="436" stopIfTrue="1">
      <formula>ISERROR</formula>
    </cfRule>
  </conditionalFormatting>
  <conditionalFormatting sqref="N25:Y25">
    <cfRule type="cellIs" dxfId="1082" priority="432" stopIfTrue="1" operator="equal">
      <formula>0</formula>
    </cfRule>
  </conditionalFormatting>
  <conditionalFormatting sqref="M25 J25:K25 D25:G25">
    <cfRule type="cellIs" dxfId="1081" priority="434" stopIfTrue="1" operator="equal">
      <formula>0</formula>
    </cfRule>
  </conditionalFormatting>
  <conditionalFormatting sqref="M25 J25:K25 E25:G25">
    <cfRule type="expression" dxfId="1080" priority="433" stopIfTrue="1">
      <formula>ISERROR</formula>
    </cfRule>
  </conditionalFormatting>
  <conditionalFormatting sqref="C25">
    <cfRule type="cellIs" dxfId="1079" priority="435" stopIfTrue="1" operator="equal">
      <formula>0</formula>
    </cfRule>
  </conditionalFormatting>
  <conditionalFormatting sqref="L25">
    <cfRule type="cellIs" dxfId="1078" priority="431" stopIfTrue="1" operator="equal">
      <formula>0</formula>
    </cfRule>
  </conditionalFormatting>
  <conditionalFormatting sqref="I25">
    <cfRule type="cellIs" dxfId="1077" priority="430" stopIfTrue="1" operator="equal">
      <formula>0</formula>
    </cfRule>
  </conditionalFormatting>
  <conditionalFormatting sqref="H25">
    <cfRule type="cellIs" dxfId="1076" priority="429" stopIfTrue="1" operator="equal">
      <formula>0</formula>
    </cfRule>
  </conditionalFormatting>
  <conditionalFormatting sqref="H25">
    <cfRule type="expression" dxfId="1075" priority="428" stopIfTrue="1">
      <formula>ISERROR</formula>
    </cfRule>
  </conditionalFormatting>
  <conditionalFormatting sqref="L26 I26">
    <cfRule type="expression" dxfId="1074" priority="427" stopIfTrue="1">
      <formula>ISERROR</formula>
    </cfRule>
  </conditionalFormatting>
  <conditionalFormatting sqref="N26:Y26">
    <cfRule type="cellIs" dxfId="1073" priority="423" stopIfTrue="1" operator="equal">
      <formula>0</formula>
    </cfRule>
  </conditionalFormatting>
  <conditionalFormatting sqref="M26 J26:K26 D26:H26">
    <cfRule type="cellIs" dxfId="1072" priority="425" stopIfTrue="1" operator="equal">
      <formula>0</formula>
    </cfRule>
  </conditionalFormatting>
  <conditionalFormatting sqref="M26 J26:K26 E26:H26">
    <cfRule type="expression" dxfId="1071" priority="424" stopIfTrue="1">
      <formula>ISERROR</formula>
    </cfRule>
  </conditionalFormatting>
  <conditionalFormatting sqref="C26">
    <cfRule type="cellIs" dxfId="1070" priority="426" stopIfTrue="1" operator="equal">
      <formula>0</formula>
    </cfRule>
  </conditionalFormatting>
  <conditionalFormatting sqref="L26">
    <cfRule type="cellIs" dxfId="1069" priority="422" stopIfTrue="1" operator="equal">
      <formula>0</formula>
    </cfRule>
  </conditionalFormatting>
  <conditionalFormatting sqref="I26">
    <cfRule type="cellIs" dxfId="1068" priority="421" stopIfTrue="1" operator="equal">
      <formula>0</formula>
    </cfRule>
  </conditionalFormatting>
  <conditionalFormatting sqref="L27 I27">
    <cfRule type="expression" dxfId="1067" priority="420" stopIfTrue="1">
      <formula>ISERROR</formula>
    </cfRule>
  </conditionalFormatting>
  <conditionalFormatting sqref="N27:Y27">
    <cfRule type="cellIs" dxfId="1066" priority="416" stopIfTrue="1" operator="equal">
      <formula>0</formula>
    </cfRule>
  </conditionalFormatting>
  <conditionalFormatting sqref="M27 J27:K27 D27:H27">
    <cfRule type="cellIs" dxfId="1065" priority="418" stopIfTrue="1" operator="equal">
      <formula>0</formula>
    </cfRule>
  </conditionalFormatting>
  <conditionalFormatting sqref="M27 J27:K27 E27:H27">
    <cfRule type="expression" dxfId="1064" priority="417" stopIfTrue="1">
      <formula>ISERROR</formula>
    </cfRule>
  </conditionalFormatting>
  <conditionalFormatting sqref="C27">
    <cfRule type="cellIs" dxfId="1063" priority="419" stopIfTrue="1" operator="equal">
      <formula>0</formula>
    </cfRule>
  </conditionalFormatting>
  <conditionalFormatting sqref="L27">
    <cfRule type="cellIs" dxfId="1062" priority="415" stopIfTrue="1" operator="equal">
      <formula>0</formula>
    </cfRule>
  </conditionalFormatting>
  <conditionalFormatting sqref="I27">
    <cfRule type="cellIs" dxfId="1061" priority="414" stopIfTrue="1" operator="equal">
      <formula>0</formula>
    </cfRule>
  </conditionalFormatting>
  <conditionalFormatting sqref="D28:H28 N28:Y28">
    <cfRule type="cellIs" dxfId="1060" priority="411" stopIfTrue="1" operator="equal">
      <formula>0</formula>
    </cfRule>
  </conditionalFormatting>
  <conditionalFormatting sqref="K28:M28 E28:H28">
    <cfRule type="expression" dxfId="1059" priority="412" stopIfTrue="1">
      <formula>ISERROR</formula>
    </cfRule>
  </conditionalFormatting>
  <conditionalFormatting sqref="K28:M28 C28">
    <cfRule type="cellIs" dxfId="1058" priority="413" stopIfTrue="1" operator="equal">
      <formula>0</formula>
    </cfRule>
  </conditionalFormatting>
  <conditionalFormatting sqref="L28">
    <cfRule type="cellIs" dxfId="1057" priority="410" stopIfTrue="1" operator="equal">
      <formula>0</formula>
    </cfRule>
  </conditionalFormatting>
  <conditionalFormatting sqref="I28:J28">
    <cfRule type="expression" dxfId="1056" priority="409" stopIfTrue="1">
      <formula>ISERROR</formula>
    </cfRule>
  </conditionalFormatting>
  <conditionalFormatting sqref="I28:J28">
    <cfRule type="cellIs" dxfId="1055" priority="408" stopIfTrue="1" operator="equal">
      <formula>0</formula>
    </cfRule>
  </conditionalFormatting>
  <conditionalFormatting sqref="X29:Y29">
    <cfRule type="cellIs" dxfId="1054" priority="407" stopIfTrue="1" operator="equal">
      <formula>0</formula>
    </cfRule>
  </conditionalFormatting>
  <conditionalFormatting sqref="D29:H29 L29 N29:W29">
    <cfRule type="cellIs" dxfId="1053" priority="404" stopIfTrue="1" operator="equal">
      <formula>0</formula>
    </cfRule>
  </conditionalFormatting>
  <conditionalFormatting sqref="E29:F29">
    <cfRule type="expression" dxfId="1052" priority="405" stopIfTrue="1">
      <formula>ISERROR</formula>
    </cfRule>
  </conditionalFormatting>
  <conditionalFormatting sqref="M29 C29">
    <cfRule type="cellIs" dxfId="1051" priority="406" stopIfTrue="1" operator="equal">
      <formula>0</formula>
    </cfRule>
  </conditionalFormatting>
  <conditionalFormatting sqref="I29:J29">
    <cfRule type="expression" dxfId="1050" priority="403" stopIfTrue="1">
      <formula>ISERROR</formula>
    </cfRule>
  </conditionalFormatting>
  <conditionalFormatting sqref="I29:J29">
    <cfRule type="cellIs" dxfId="1049" priority="402" stopIfTrue="1" operator="equal">
      <formula>0</formula>
    </cfRule>
  </conditionalFormatting>
  <conditionalFormatting sqref="N30:Y30 L30 D30:J30">
    <cfRule type="cellIs" dxfId="1048" priority="400" stopIfTrue="1" operator="equal">
      <formula>0</formula>
    </cfRule>
  </conditionalFormatting>
  <conditionalFormatting sqref="E30:K30 M30">
    <cfRule type="expression" dxfId="1047" priority="399" stopIfTrue="1">
      <formula>ISERROR</formula>
    </cfRule>
  </conditionalFormatting>
  <conditionalFormatting sqref="M30 K30 C30">
    <cfRule type="cellIs" dxfId="1046" priority="401" stopIfTrue="1" operator="equal">
      <formula>0</formula>
    </cfRule>
  </conditionalFormatting>
  <conditionalFormatting sqref="L30">
    <cfRule type="expression" dxfId="1045" priority="398" stopIfTrue="1">
      <formula>ISERROR</formula>
    </cfRule>
  </conditionalFormatting>
  <conditionalFormatting sqref="I30">
    <cfRule type="expression" dxfId="1044" priority="397" stopIfTrue="1">
      <formula>ISERROR</formula>
    </cfRule>
  </conditionalFormatting>
  <conditionalFormatting sqref="N31:Y31 L31 D31:H31 J31">
    <cfRule type="cellIs" dxfId="1043" priority="395" stopIfTrue="1" operator="equal">
      <formula>0</formula>
    </cfRule>
  </conditionalFormatting>
  <conditionalFormatting sqref="M31">
    <cfRule type="expression" dxfId="1042" priority="394" stopIfTrue="1">
      <formula>ISERROR</formula>
    </cfRule>
  </conditionalFormatting>
  <conditionalFormatting sqref="J31">
    <cfRule type="expression" dxfId="1041" priority="393" stopIfTrue="1">
      <formula>ISERROR</formula>
    </cfRule>
  </conditionalFormatting>
  <conditionalFormatting sqref="M31 C31">
    <cfRule type="cellIs" dxfId="1040" priority="396" stopIfTrue="1" operator="equal">
      <formula>0</formula>
    </cfRule>
  </conditionalFormatting>
  <conditionalFormatting sqref="L31">
    <cfRule type="expression" dxfId="1039" priority="392" stopIfTrue="1">
      <formula>ISERROR</formula>
    </cfRule>
  </conditionalFormatting>
  <conditionalFormatting sqref="I31">
    <cfRule type="expression" dxfId="1038" priority="391" stopIfTrue="1">
      <formula>ISERROR</formula>
    </cfRule>
  </conditionalFormatting>
  <conditionalFormatting sqref="I31">
    <cfRule type="cellIs" dxfId="1037" priority="390" stopIfTrue="1" operator="equal">
      <formula>0</formula>
    </cfRule>
  </conditionalFormatting>
  <conditionalFormatting sqref="I31">
    <cfRule type="cellIs" dxfId="1036" priority="389" stopIfTrue="1" operator="equal">
      <formula>0</formula>
    </cfRule>
  </conditionalFormatting>
  <conditionalFormatting sqref="D32:H32 J32:Y32">
    <cfRule type="cellIs" dxfId="1035" priority="387" stopIfTrue="1" operator="equal">
      <formula>0</formula>
    </cfRule>
  </conditionalFormatting>
  <conditionalFormatting sqref="M32 E32:H32 J32:K32">
    <cfRule type="expression" dxfId="1034" priority="386" stopIfTrue="1">
      <formula>ISERROR</formula>
    </cfRule>
  </conditionalFormatting>
  <conditionalFormatting sqref="C32">
    <cfRule type="cellIs" dxfId="1033" priority="388" stopIfTrue="1" operator="equal">
      <formula>0</formula>
    </cfRule>
  </conditionalFormatting>
  <conditionalFormatting sqref="L32">
    <cfRule type="expression" dxfId="1032" priority="385" stopIfTrue="1">
      <formula>ISERROR</formula>
    </cfRule>
  </conditionalFormatting>
  <conditionalFormatting sqref="I32">
    <cfRule type="expression" dxfId="1031" priority="384" stopIfTrue="1">
      <formula>ISERROR</formula>
    </cfRule>
  </conditionalFormatting>
  <conditionalFormatting sqref="I32">
    <cfRule type="cellIs" dxfId="1030" priority="383" stopIfTrue="1" operator="equal">
      <formula>0</formula>
    </cfRule>
  </conditionalFormatting>
  <conditionalFormatting sqref="I32">
    <cfRule type="cellIs" dxfId="1029" priority="382" stopIfTrue="1" operator="equal">
      <formula>0</formula>
    </cfRule>
  </conditionalFormatting>
  <conditionalFormatting sqref="D33:H33 J33:Y33">
    <cfRule type="cellIs" dxfId="1028" priority="380" stopIfTrue="1" operator="equal">
      <formula>0</formula>
    </cfRule>
  </conditionalFormatting>
  <conditionalFormatting sqref="M33 E33:H33 J33:K33">
    <cfRule type="expression" dxfId="1027" priority="379" stopIfTrue="1">
      <formula>ISERROR</formula>
    </cfRule>
  </conditionalFormatting>
  <conditionalFormatting sqref="C33">
    <cfRule type="cellIs" dxfId="1026" priority="381" stopIfTrue="1" operator="equal">
      <formula>0</formula>
    </cfRule>
  </conditionalFormatting>
  <conditionalFormatting sqref="L33">
    <cfRule type="expression" dxfId="1025" priority="378" stopIfTrue="1">
      <formula>ISERROR</formula>
    </cfRule>
  </conditionalFormatting>
  <conditionalFormatting sqref="I33">
    <cfRule type="expression" dxfId="1024" priority="377" stopIfTrue="1">
      <formula>ISERROR</formula>
    </cfRule>
  </conditionalFormatting>
  <conditionalFormatting sqref="I33">
    <cfRule type="cellIs" dxfId="1023" priority="376" stopIfTrue="1" operator="equal">
      <formula>0</formula>
    </cfRule>
  </conditionalFormatting>
  <conditionalFormatting sqref="I33">
    <cfRule type="cellIs" dxfId="1022" priority="375" stopIfTrue="1" operator="equal">
      <formula>0</formula>
    </cfRule>
  </conditionalFormatting>
  <conditionalFormatting sqref="K34:Y34 D34:H34">
    <cfRule type="cellIs" dxfId="1021" priority="373" stopIfTrue="1" operator="equal">
      <formula>0</formula>
    </cfRule>
  </conditionalFormatting>
  <conditionalFormatting sqref="E34:H34 K34:M34">
    <cfRule type="expression" dxfId="1020" priority="372" stopIfTrue="1">
      <formula>ISERROR</formula>
    </cfRule>
  </conditionalFormatting>
  <conditionalFormatting sqref="C34">
    <cfRule type="cellIs" dxfId="1019" priority="374" stopIfTrue="1" operator="equal">
      <formula>0</formula>
    </cfRule>
  </conditionalFormatting>
  <conditionalFormatting sqref="L34">
    <cfRule type="cellIs" dxfId="1018" priority="371" stopIfTrue="1" operator="equal">
      <formula>0</formula>
    </cfRule>
  </conditionalFormatting>
  <conditionalFormatting sqref="I34:J34">
    <cfRule type="expression" dxfId="1017" priority="370" stopIfTrue="1">
      <formula>ISERROR</formula>
    </cfRule>
  </conditionalFormatting>
  <conditionalFormatting sqref="I34:J34">
    <cfRule type="cellIs" dxfId="1016" priority="369" stopIfTrue="1" operator="equal">
      <formula>0</formula>
    </cfRule>
  </conditionalFormatting>
  <conditionalFormatting sqref="D35:Y35">
    <cfRule type="cellIs" dxfId="1015" priority="367" stopIfTrue="1" operator="equal">
      <formula>0</formula>
    </cfRule>
  </conditionalFormatting>
  <conditionalFormatting sqref="E35:M35">
    <cfRule type="expression" dxfId="1014" priority="366" stopIfTrue="1">
      <formula>ISERROR</formula>
    </cfRule>
  </conditionalFormatting>
  <conditionalFormatting sqref="C35">
    <cfRule type="cellIs" dxfId="1013" priority="368" stopIfTrue="1" operator="equal">
      <formula>0</formula>
    </cfRule>
  </conditionalFormatting>
  <conditionalFormatting sqref="L35">
    <cfRule type="cellIs" dxfId="1012" priority="365" stopIfTrue="1" operator="equal">
      <formula>0</formula>
    </cfRule>
  </conditionalFormatting>
  <conditionalFormatting sqref="L35">
    <cfRule type="expression" dxfId="1011" priority="364" stopIfTrue="1">
      <formula>ISERROR</formula>
    </cfRule>
  </conditionalFormatting>
  <conditionalFormatting sqref="I35">
    <cfRule type="expression" dxfId="1010" priority="363" stopIfTrue="1">
      <formula>ISERROR</formula>
    </cfRule>
  </conditionalFormatting>
  <conditionalFormatting sqref="N36:Y36 L36">
    <cfRule type="cellIs" dxfId="1009" priority="361" stopIfTrue="1" operator="equal">
      <formula>0</formula>
    </cfRule>
  </conditionalFormatting>
  <conditionalFormatting sqref="E36:H36 K36:M36">
    <cfRule type="expression" dxfId="1008" priority="358" stopIfTrue="1">
      <formula>ISERROR</formula>
    </cfRule>
  </conditionalFormatting>
  <conditionalFormatting sqref="L36">
    <cfRule type="expression" dxfId="1007" priority="360" stopIfTrue="1">
      <formula>ISERROR</formula>
    </cfRule>
  </conditionalFormatting>
  <conditionalFormatting sqref="K36:M36 C36">
    <cfRule type="cellIs" dxfId="1006" priority="362" stopIfTrue="1" operator="equal">
      <formula>0</formula>
    </cfRule>
  </conditionalFormatting>
  <conditionalFormatting sqref="D36:H36 L36">
    <cfRule type="cellIs" dxfId="1005" priority="359" stopIfTrue="1" operator="equal">
      <formula>0</formula>
    </cfRule>
  </conditionalFormatting>
  <conditionalFormatting sqref="L36">
    <cfRule type="expression" dxfId="1004" priority="357" stopIfTrue="1">
      <formula>ISERROR</formula>
    </cfRule>
  </conditionalFormatting>
  <conditionalFormatting sqref="I36">
    <cfRule type="expression" dxfId="1003" priority="356" stopIfTrue="1">
      <formula>ISERROR</formula>
    </cfRule>
  </conditionalFormatting>
  <conditionalFormatting sqref="I36">
    <cfRule type="cellIs" dxfId="1002" priority="355" stopIfTrue="1" operator="equal">
      <formula>0</formula>
    </cfRule>
  </conditionalFormatting>
  <conditionalFormatting sqref="I36">
    <cfRule type="cellIs" dxfId="1001" priority="354" stopIfTrue="1" operator="equal">
      <formula>0</formula>
    </cfRule>
  </conditionalFormatting>
  <conditionalFormatting sqref="N37:Y37 L37">
    <cfRule type="cellIs" dxfId="1000" priority="352" stopIfTrue="1" operator="equal">
      <formula>0</formula>
    </cfRule>
  </conditionalFormatting>
  <conditionalFormatting sqref="L37">
    <cfRule type="expression" dxfId="999" priority="349" stopIfTrue="1">
      <formula>ISERROR</formula>
    </cfRule>
  </conditionalFormatting>
  <conditionalFormatting sqref="L37">
    <cfRule type="expression" dxfId="998" priority="351" stopIfTrue="1">
      <formula>ISERROR</formula>
    </cfRule>
  </conditionalFormatting>
  <conditionalFormatting sqref="E37:H37 J37:M37">
    <cfRule type="expression" dxfId="997" priority="348" stopIfTrue="1">
      <formula>ISERROR</formula>
    </cfRule>
  </conditionalFormatting>
  <conditionalFormatting sqref="C37:H37 J37:M37">
    <cfRule type="cellIs" dxfId="996" priority="353" stopIfTrue="1" operator="equal">
      <formula>0</formula>
    </cfRule>
  </conditionalFormatting>
  <conditionalFormatting sqref="L37">
    <cfRule type="cellIs" dxfId="995" priority="350" stopIfTrue="1" operator="equal">
      <formula>0</formula>
    </cfRule>
  </conditionalFormatting>
  <conditionalFormatting sqref="L37">
    <cfRule type="expression" dxfId="994" priority="347" stopIfTrue="1">
      <formula>ISERROR</formula>
    </cfRule>
  </conditionalFormatting>
  <conditionalFormatting sqref="I37">
    <cfRule type="expression" dxfId="993" priority="346" stopIfTrue="1">
      <formula>ISERROR</formula>
    </cfRule>
  </conditionalFormatting>
  <conditionalFormatting sqref="I37">
    <cfRule type="cellIs" dxfId="992" priority="345" stopIfTrue="1" operator="equal">
      <formula>0</formula>
    </cfRule>
  </conditionalFormatting>
  <conditionalFormatting sqref="C38 E38:F38 I38:M38">
    <cfRule type="expression" dxfId="991" priority="344" stopIfTrue="1">
      <formula>ISERROR</formula>
    </cfRule>
  </conditionalFormatting>
  <conditionalFormatting sqref="N38:Y38">
    <cfRule type="cellIs" dxfId="990" priority="342" stopIfTrue="1" operator="equal">
      <formula>0</formula>
    </cfRule>
  </conditionalFormatting>
  <conditionalFormatting sqref="C38:M38">
    <cfRule type="cellIs" dxfId="989" priority="343" stopIfTrue="1" operator="equal">
      <formula>0</formula>
    </cfRule>
  </conditionalFormatting>
  <conditionalFormatting sqref="L38">
    <cfRule type="cellIs" dxfId="988" priority="341" stopIfTrue="1" operator="equal">
      <formula>0</formula>
    </cfRule>
  </conditionalFormatting>
  <conditionalFormatting sqref="L38">
    <cfRule type="expression" dxfId="987" priority="340" stopIfTrue="1">
      <formula>ISERROR</formula>
    </cfRule>
  </conditionalFormatting>
  <conditionalFormatting sqref="G38:H38">
    <cfRule type="expression" dxfId="986" priority="339" stopIfTrue="1">
      <formula>ISERROR</formula>
    </cfRule>
  </conditionalFormatting>
  <conditionalFormatting sqref="C39 E39:F39 I39:M39">
    <cfRule type="expression" dxfId="985" priority="338" stopIfTrue="1">
      <formula>ISERROR</formula>
    </cfRule>
  </conditionalFormatting>
  <conditionalFormatting sqref="N39:Y39">
    <cfRule type="cellIs" dxfId="984" priority="336" stopIfTrue="1" operator="equal">
      <formula>0</formula>
    </cfRule>
  </conditionalFormatting>
  <conditionalFormatting sqref="C39:M39">
    <cfRule type="cellIs" dxfId="983" priority="337" stopIfTrue="1" operator="equal">
      <formula>0</formula>
    </cfRule>
  </conditionalFormatting>
  <conditionalFormatting sqref="L39">
    <cfRule type="cellIs" dxfId="982" priority="335" stopIfTrue="1" operator="equal">
      <formula>0</formula>
    </cfRule>
  </conditionalFormatting>
  <conditionalFormatting sqref="L39">
    <cfRule type="expression" dxfId="981" priority="334" stopIfTrue="1">
      <formula>ISERROR</formula>
    </cfRule>
  </conditionalFormatting>
  <conditionalFormatting sqref="G39:H39">
    <cfRule type="expression" dxfId="980" priority="333" stopIfTrue="1">
      <formula>ISERROR</formula>
    </cfRule>
  </conditionalFormatting>
  <conditionalFormatting sqref="X40:Y40">
    <cfRule type="cellIs" dxfId="979" priority="332" stopIfTrue="1" operator="equal">
      <formula>0</formula>
    </cfRule>
  </conditionalFormatting>
  <conditionalFormatting sqref="C40 E40:M40">
    <cfRule type="expression" dxfId="978" priority="331" stopIfTrue="1">
      <formula>ISERROR</formula>
    </cfRule>
  </conditionalFormatting>
  <conditionalFormatting sqref="C40:W40">
    <cfRule type="cellIs" dxfId="977" priority="330" stopIfTrue="1" operator="equal">
      <formula>0</formula>
    </cfRule>
  </conditionalFormatting>
  <conditionalFormatting sqref="L40">
    <cfRule type="expression" dxfId="976" priority="329" stopIfTrue="1">
      <formula>ISERROR</formula>
    </cfRule>
  </conditionalFormatting>
  <conditionalFormatting sqref="X41:Y41">
    <cfRule type="cellIs" dxfId="975" priority="328" stopIfTrue="1" operator="equal">
      <formula>0</formula>
    </cfRule>
  </conditionalFormatting>
  <conditionalFormatting sqref="C41 E41:M41">
    <cfRule type="expression" dxfId="974" priority="327" stopIfTrue="1">
      <formula>ISERROR</formula>
    </cfRule>
  </conditionalFormatting>
  <conditionalFormatting sqref="C41:W41">
    <cfRule type="cellIs" dxfId="973" priority="326" stopIfTrue="1" operator="equal">
      <formula>0</formula>
    </cfRule>
  </conditionalFormatting>
  <conditionalFormatting sqref="L41">
    <cfRule type="expression" dxfId="972" priority="325" stopIfTrue="1">
      <formula>ISERROR</formula>
    </cfRule>
  </conditionalFormatting>
  <conditionalFormatting sqref="X42:Y42">
    <cfRule type="cellIs" dxfId="971" priority="324" stopIfTrue="1" operator="equal">
      <formula>0</formula>
    </cfRule>
  </conditionalFormatting>
  <conditionalFormatting sqref="L42">
    <cfRule type="expression" dxfId="970" priority="323" stopIfTrue="1">
      <formula>ISERROR</formula>
    </cfRule>
  </conditionalFormatting>
  <conditionalFormatting sqref="L42">
    <cfRule type="cellIs" dxfId="969" priority="322" stopIfTrue="1" operator="equal">
      <formula>0</formula>
    </cfRule>
  </conditionalFormatting>
  <conditionalFormatting sqref="L42">
    <cfRule type="expression" dxfId="968" priority="321" stopIfTrue="1">
      <formula>ISERROR</formula>
    </cfRule>
  </conditionalFormatting>
  <conditionalFormatting sqref="C42 E42:K42 M42">
    <cfRule type="expression" dxfId="967" priority="320" stopIfTrue="1">
      <formula>ISERROR</formula>
    </cfRule>
  </conditionalFormatting>
  <conditionalFormatting sqref="C42:K42 M42:W42">
    <cfRule type="cellIs" dxfId="966" priority="319" stopIfTrue="1" operator="equal">
      <formula>0</formula>
    </cfRule>
  </conditionalFormatting>
  <conditionalFormatting sqref="C43 E43:K43 M43">
    <cfRule type="expression" dxfId="965" priority="318" stopIfTrue="1">
      <formula>ISERROR</formula>
    </cfRule>
  </conditionalFormatting>
  <conditionalFormatting sqref="C43:K43 M43:Y43">
    <cfRule type="cellIs" dxfId="964" priority="317" stopIfTrue="1" operator="equal">
      <formula>0</formula>
    </cfRule>
  </conditionalFormatting>
  <conditionalFormatting sqref="L43">
    <cfRule type="expression" dxfId="963" priority="316" stopIfTrue="1">
      <formula>ISERROR</formula>
    </cfRule>
  </conditionalFormatting>
  <conditionalFormatting sqref="L43">
    <cfRule type="cellIs" dxfId="962" priority="315" stopIfTrue="1" operator="equal">
      <formula>0</formula>
    </cfRule>
  </conditionalFormatting>
  <conditionalFormatting sqref="L43">
    <cfRule type="expression" dxfId="961" priority="314" stopIfTrue="1">
      <formula>ISERROR</formula>
    </cfRule>
  </conditionalFormatting>
  <conditionalFormatting sqref="C44 E44:K44 M44">
    <cfRule type="expression" dxfId="960" priority="313" stopIfTrue="1">
      <formula>ISERROR</formula>
    </cfRule>
  </conditionalFormatting>
  <conditionalFormatting sqref="C44:K44 M44:Y44">
    <cfRule type="cellIs" dxfId="959" priority="312" stopIfTrue="1" operator="equal">
      <formula>0</formula>
    </cfRule>
  </conditionalFormatting>
  <conditionalFormatting sqref="L44">
    <cfRule type="expression" dxfId="958" priority="311" stopIfTrue="1">
      <formula>ISERROR</formula>
    </cfRule>
  </conditionalFormatting>
  <conditionalFormatting sqref="L44">
    <cfRule type="cellIs" dxfId="957" priority="310" stopIfTrue="1" operator="equal">
      <formula>0</formula>
    </cfRule>
  </conditionalFormatting>
  <conditionalFormatting sqref="L44">
    <cfRule type="expression" dxfId="956" priority="309" stopIfTrue="1">
      <formula>ISERROR</formula>
    </cfRule>
  </conditionalFormatting>
  <conditionalFormatting sqref="C45 E45:K45 M45">
    <cfRule type="expression" dxfId="955" priority="308" stopIfTrue="1">
      <formula>ISERROR</formula>
    </cfRule>
  </conditionalFormatting>
  <conditionalFormatting sqref="C45:K45 M45:Y45">
    <cfRule type="cellIs" dxfId="954" priority="307" stopIfTrue="1" operator="equal">
      <formula>0</formula>
    </cfRule>
  </conditionalFormatting>
  <conditionalFormatting sqref="L45">
    <cfRule type="expression" dxfId="953" priority="306" stopIfTrue="1">
      <formula>ISERROR</formula>
    </cfRule>
  </conditionalFormatting>
  <conditionalFormatting sqref="L45">
    <cfRule type="cellIs" dxfId="952" priority="305" stopIfTrue="1" operator="equal">
      <formula>0</formula>
    </cfRule>
  </conditionalFormatting>
  <conditionalFormatting sqref="L45">
    <cfRule type="expression" dxfId="951" priority="304" stopIfTrue="1">
      <formula>ISERROR</formula>
    </cfRule>
  </conditionalFormatting>
  <conditionalFormatting sqref="C46 E46:K46 M46">
    <cfRule type="expression" dxfId="950" priority="303" stopIfTrue="1">
      <formula>ISERROR</formula>
    </cfRule>
  </conditionalFormatting>
  <conditionalFormatting sqref="C46:K46 M46:Y46">
    <cfRule type="cellIs" dxfId="949" priority="302" stopIfTrue="1" operator="equal">
      <formula>0</formula>
    </cfRule>
  </conditionalFormatting>
  <conditionalFormatting sqref="L46">
    <cfRule type="expression" dxfId="948" priority="301" stopIfTrue="1">
      <formula>ISERROR</formula>
    </cfRule>
  </conditionalFormatting>
  <conditionalFormatting sqref="L46">
    <cfRule type="cellIs" dxfId="947" priority="300" stopIfTrue="1" operator="equal">
      <formula>0</formula>
    </cfRule>
  </conditionalFormatting>
  <conditionalFormatting sqref="L46">
    <cfRule type="expression" dxfId="946" priority="299" stopIfTrue="1">
      <formula>ISERROR</formula>
    </cfRule>
  </conditionalFormatting>
  <conditionalFormatting sqref="E47:J47 C47 L47:M47">
    <cfRule type="expression" dxfId="945" priority="298" stopIfTrue="1">
      <formula>ISERROR</formula>
    </cfRule>
  </conditionalFormatting>
  <conditionalFormatting sqref="C47:J47 L47:Y47">
    <cfRule type="cellIs" dxfId="944" priority="297" stopIfTrue="1" operator="equal">
      <formula>0</formula>
    </cfRule>
  </conditionalFormatting>
  <conditionalFormatting sqref="L47">
    <cfRule type="expression" dxfId="943" priority="293" stopIfTrue="1">
      <formula>ISERROR</formula>
    </cfRule>
  </conditionalFormatting>
  <conditionalFormatting sqref="L47">
    <cfRule type="expression" dxfId="942" priority="295" stopIfTrue="1">
      <formula>ISERROR</formula>
    </cfRule>
  </conditionalFormatting>
  <conditionalFormatting sqref="L47">
    <cfRule type="cellIs" dxfId="941" priority="296" stopIfTrue="1" operator="equal">
      <formula>0</formula>
    </cfRule>
  </conditionalFormatting>
  <conditionalFormatting sqref="L47">
    <cfRule type="cellIs" dxfId="940" priority="294" stopIfTrue="1" operator="equal">
      <formula>0</formula>
    </cfRule>
  </conditionalFormatting>
  <conditionalFormatting sqref="L47">
    <cfRule type="expression" dxfId="939" priority="292" stopIfTrue="1">
      <formula>ISERROR</formula>
    </cfRule>
  </conditionalFormatting>
  <conditionalFormatting sqref="K47">
    <cfRule type="cellIs" dxfId="938" priority="290" stopIfTrue="1" operator="equal">
      <formula>0</formula>
    </cfRule>
  </conditionalFormatting>
  <conditionalFormatting sqref="K47">
    <cfRule type="expression" dxfId="937" priority="291" stopIfTrue="1">
      <formula>ISERROR</formula>
    </cfRule>
  </conditionalFormatting>
  <conditionalFormatting sqref="X48:Y48">
    <cfRule type="cellIs" dxfId="936" priority="289" stopIfTrue="1" operator="equal">
      <formula>0</formula>
    </cfRule>
  </conditionalFormatting>
  <conditionalFormatting sqref="C48 M48 E48:K48">
    <cfRule type="expression" dxfId="935" priority="288" stopIfTrue="1">
      <formula>ISERROR</formula>
    </cfRule>
  </conditionalFormatting>
  <conditionalFormatting sqref="M48:W48 C48:K48">
    <cfRule type="cellIs" dxfId="934" priority="287" stopIfTrue="1" operator="equal">
      <formula>0</formula>
    </cfRule>
  </conditionalFormatting>
  <conditionalFormatting sqref="L48">
    <cfRule type="expression" dxfId="933" priority="286" stopIfTrue="1">
      <formula>ISERROR</formula>
    </cfRule>
  </conditionalFormatting>
  <conditionalFormatting sqref="L48">
    <cfRule type="cellIs" dxfId="932" priority="285" stopIfTrue="1" operator="equal">
      <formula>0</formula>
    </cfRule>
  </conditionalFormatting>
  <conditionalFormatting sqref="L48">
    <cfRule type="expression" dxfId="931" priority="284" stopIfTrue="1">
      <formula>ISERROR</formula>
    </cfRule>
  </conditionalFormatting>
  <conditionalFormatting sqref="C49">
    <cfRule type="expression" dxfId="930" priority="283" stopIfTrue="1">
      <formula>ISERROR</formula>
    </cfRule>
  </conditionalFormatting>
  <conditionalFormatting sqref="X49:Y49">
    <cfRule type="cellIs" dxfId="929" priority="281" stopIfTrue="1" operator="equal">
      <formula>0</formula>
    </cfRule>
  </conditionalFormatting>
  <conditionalFormatting sqref="D49">
    <cfRule type="cellIs" dxfId="928" priority="282" stopIfTrue="1" operator="equal">
      <formula>0</formula>
    </cfRule>
  </conditionalFormatting>
  <conditionalFormatting sqref="M49 E49:F49">
    <cfRule type="expression" dxfId="927" priority="280" stopIfTrue="1">
      <formula>ISERROR</formula>
    </cfRule>
  </conditionalFormatting>
  <conditionalFormatting sqref="E49:F49 M49:W49">
    <cfRule type="cellIs" dxfId="926" priority="279" stopIfTrue="1" operator="equal">
      <formula>0</formula>
    </cfRule>
  </conditionalFormatting>
  <conditionalFormatting sqref="C49">
    <cfRule type="cellIs" dxfId="925" priority="278" stopIfTrue="1" operator="equal">
      <formula>0</formula>
    </cfRule>
  </conditionalFormatting>
  <conditionalFormatting sqref="L49">
    <cfRule type="expression" dxfId="924" priority="277" stopIfTrue="1">
      <formula>ISERROR</formula>
    </cfRule>
  </conditionalFormatting>
  <conditionalFormatting sqref="L49">
    <cfRule type="cellIs" dxfId="923" priority="276" stopIfTrue="1" operator="equal">
      <formula>0</formula>
    </cfRule>
  </conditionalFormatting>
  <conditionalFormatting sqref="G49:K49">
    <cfRule type="expression" dxfId="922" priority="275" stopIfTrue="1">
      <formula>ISERROR</formula>
    </cfRule>
  </conditionalFormatting>
  <conditionalFormatting sqref="G49:K49">
    <cfRule type="cellIs" dxfId="921" priority="274" stopIfTrue="1" operator="equal">
      <formula>0</formula>
    </cfRule>
  </conditionalFormatting>
  <conditionalFormatting sqref="E50:M50 C50">
    <cfRule type="expression" dxfId="920" priority="273" stopIfTrue="1">
      <formula>ISERROR</formula>
    </cfRule>
  </conditionalFormatting>
  <conditionalFormatting sqref="C50:Y50">
    <cfRule type="cellIs" dxfId="919" priority="272" stopIfTrue="1" operator="equal">
      <formula>0</formula>
    </cfRule>
  </conditionalFormatting>
  <conditionalFormatting sqref="E51:M51 C51">
    <cfRule type="expression" dxfId="918" priority="271" stopIfTrue="1">
      <formula>ISERROR</formula>
    </cfRule>
  </conditionalFormatting>
  <conditionalFormatting sqref="C51:Y51">
    <cfRule type="cellIs" dxfId="917" priority="270" stopIfTrue="1" operator="equal">
      <formula>0</formula>
    </cfRule>
  </conditionalFormatting>
  <conditionalFormatting sqref="E52:M52 C52">
    <cfRule type="expression" dxfId="916" priority="269" stopIfTrue="1">
      <formula>ISERROR</formula>
    </cfRule>
  </conditionalFormatting>
  <conditionalFormatting sqref="C52:Y52">
    <cfRule type="cellIs" dxfId="915" priority="268" stopIfTrue="1" operator="equal">
      <formula>0</formula>
    </cfRule>
  </conditionalFormatting>
  <conditionalFormatting sqref="L52">
    <cfRule type="cellIs" dxfId="914" priority="267" stopIfTrue="1" operator="equal">
      <formula>0</formula>
    </cfRule>
  </conditionalFormatting>
  <conditionalFormatting sqref="L52">
    <cfRule type="cellIs" dxfId="913" priority="266" stopIfTrue="1" operator="equal">
      <formula>0</formula>
    </cfRule>
  </conditionalFormatting>
  <conditionalFormatting sqref="L52">
    <cfRule type="expression" dxfId="912" priority="265" stopIfTrue="1">
      <formula>ISERROR</formula>
    </cfRule>
  </conditionalFormatting>
  <conditionalFormatting sqref="E53:M53 C53">
    <cfRule type="expression" dxfId="911" priority="264" stopIfTrue="1">
      <formula>ISERROR</formula>
    </cfRule>
  </conditionalFormatting>
  <conditionalFormatting sqref="C53:Y53">
    <cfRule type="cellIs" dxfId="910" priority="263" stopIfTrue="1" operator="equal">
      <formula>0</formula>
    </cfRule>
  </conditionalFormatting>
  <conditionalFormatting sqref="E54:M54 C54">
    <cfRule type="expression" dxfId="909" priority="262" stopIfTrue="1">
      <formula>ISERROR</formula>
    </cfRule>
  </conditionalFormatting>
  <conditionalFormatting sqref="C54:Y54">
    <cfRule type="cellIs" dxfId="908" priority="261" stopIfTrue="1" operator="equal">
      <formula>0</formula>
    </cfRule>
  </conditionalFormatting>
  <conditionalFormatting sqref="E55:K55 M55 C55">
    <cfRule type="expression" dxfId="907" priority="260" stopIfTrue="1">
      <formula>ISERROR</formula>
    </cfRule>
  </conditionalFormatting>
  <conditionalFormatting sqref="C55:K55 M55:Y55">
    <cfRule type="cellIs" dxfId="906" priority="259" stopIfTrue="1" operator="equal">
      <formula>0</formula>
    </cfRule>
  </conditionalFormatting>
  <conditionalFormatting sqref="L55">
    <cfRule type="expression" dxfId="905" priority="258" stopIfTrue="1">
      <formula>ISERROR</formula>
    </cfRule>
  </conditionalFormatting>
  <conditionalFormatting sqref="L55">
    <cfRule type="cellIs" dxfId="904" priority="257" stopIfTrue="1" operator="equal">
      <formula>0</formula>
    </cfRule>
  </conditionalFormatting>
  <conditionalFormatting sqref="L55">
    <cfRule type="expression" dxfId="903" priority="256" stopIfTrue="1">
      <formula>ISERROR</formula>
    </cfRule>
  </conditionalFormatting>
  <conditionalFormatting sqref="E56:M56 C56">
    <cfRule type="expression" dxfId="902" priority="255" stopIfTrue="1">
      <formula>ISERROR</formula>
    </cfRule>
  </conditionalFormatting>
  <conditionalFormatting sqref="C56:Y56">
    <cfRule type="cellIs" dxfId="901" priority="254" stopIfTrue="1" operator="equal">
      <formula>0</formula>
    </cfRule>
  </conditionalFormatting>
  <conditionalFormatting sqref="E57:M57 C57">
    <cfRule type="expression" dxfId="900" priority="253" stopIfTrue="1">
      <formula>ISERROR</formula>
    </cfRule>
  </conditionalFormatting>
  <conditionalFormatting sqref="C57:Y57">
    <cfRule type="cellIs" dxfId="899" priority="252" stopIfTrue="1" operator="equal">
      <formula>0</formula>
    </cfRule>
  </conditionalFormatting>
  <conditionalFormatting sqref="E58:M58 C58">
    <cfRule type="expression" dxfId="898" priority="251" stopIfTrue="1">
      <formula>ISERROR</formula>
    </cfRule>
  </conditionalFormatting>
  <conditionalFormatting sqref="C58:Y58">
    <cfRule type="cellIs" dxfId="897" priority="250" stopIfTrue="1" operator="equal">
      <formula>0</formula>
    </cfRule>
  </conditionalFormatting>
  <conditionalFormatting sqref="E59:K59 M59 C59">
    <cfRule type="expression" dxfId="896" priority="249" stopIfTrue="1">
      <formula>ISERROR</formula>
    </cfRule>
  </conditionalFormatting>
  <conditionalFormatting sqref="C59:K59 M59:Y59">
    <cfRule type="cellIs" dxfId="895" priority="248" stopIfTrue="1" operator="equal">
      <formula>0</formula>
    </cfRule>
  </conditionalFormatting>
  <conditionalFormatting sqref="L59">
    <cfRule type="expression" dxfId="894" priority="247" stopIfTrue="1">
      <formula>ISERROR</formula>
    </cfRule>
  </conditionalFormatting>
  <conditionalFormatting sqref="L59">
    <cfRule type="cellIs" dxfId="893" priority="246" stopIfTrue="1" operator="equal">
      <formula>0</formula>
    </cfRule>
  </conditionalFormatting>
  <conditionalFormatting sqref="L59">
    <cfRule type="expression" dxfId="892" priority="245" stopIfTrue="1">
      <formula>ISERROR</formula>
    </cfRule>
  </conditionalFormatting>
  <conditionalFormatting sqref="E60:K60 M60 C60">
    <cfRule type="expression" dxfId="891" priority="244" stopIfTrue="1">
      <formula>ISERROR</formula>
    </cfRule>
  </conditionalFormatting>
  <conditionalFormatting sqref="C60:K60 M60:Y60">
    <cfRule type="cellIs" dxfId="890" priority="243" stopIfTrue="1" operator="equal">
      <formula>0</formula>
    </cfRule>
  </conditionalFormatting>
  <conditionalFormatting sqref="L60">
    <cfRule type="expression" dxfId="889" priority="242" stopIfTrue="1">
      <formula>ISERROR</formula>
    </cfRule>
  </conditionalFormatting>
  <conditionalFormatting sqref="L60">
    <cfRule type="cellIs" dxfId="888" priority="241" stopIfTrue="1" operator="equal">
      <formula>0</formula>
    </cfRule>
  </conditionalFormatting>
  <conditionalFormatting sqref="L60">
    <cfRule type="expression" dxfId="887" priority="240" stopIfTrue="1">
      <formula>ISERROR</formula>
    </cfRule>
  </conditionalFormatting>
  <conditionalFormatting sqref="E61:K61 M61 C61">
    <cfRule type="expression" dxfId="886" priority="239" stopIfTrue="1">
      <formula>ISERROR</formula>
    </cfRule>
  </conditionalFormatting>
  <conditionalFormatting sqref="C61:K61 M61:Y61">
    <cfRule type="cellIs" dxfId="885" priority="238" stopIfTrue="1" operator="equal">
      <formula>0</formula>
    </cfRule>
  </conditionalFormatting>
  <conditionalFormatting sqref="L61">
    <cfRule type="expression" dxfId="884" priority="237" stopIfTrue="1">
      <formula>ISERROR</formula>
    </cfRule>
  </conditionalFormatting>
  <conditionalFormatting sqref="L61">
    <cfRule type="cellIs" dxfId="883" priority="236" stopIfTrue="1" operator="equal">
      <formula>0</formula>
    </cfRule>
  </conditionalFormatting>
  <conditionalFormatting sqref="L61">
    <cfRule type="expression" dxfId="882" priority="235" stopIfTrue="1">
      <formula>ISERROR</formula>
    </cfRule>
  </conditionalFormatting>
  <conditionalFormatting sqref="E62:K62 M62 C62">
    <cfRule type="expression" dxfId="881" priority="234" stopIfTrue="1">
      <formula>ISERROR</formula>
    </cfRule>
  </conditionalFormatting>
  <conditionalFormatting sqref="C62:K62 M62:Y62">
    <cfRule type="cellIs" dxfId="880" priority="233" stopIfTrue="1" operator="equal">
      <formula>0</formula>
    </cfRule>
  </conditionalFormatting>
  <conditionalFormatting sqref="L62">
    <cfRule type="expression" dxfId="879" priority="232" stopIfTrue="1">
      <formula>ISERROR</formula>
    </cfRule>
  </conditionalFormatting>
  <conditionalFormatting sqref="L62">
    <cfRule type="cellIs" dxfId="878" priority="231" stopIfTrue="1" operator="equal">
      <formula>0</formula>
    </cfRule>
  </conditionalFormatting>
  <conditionalFormatting sqref="L62">
    <cfRule type="expression" dxfId="877" priority="230" stopIfTrue="1">
      <formula>ISERROR</formula>
    </cfRule>
  </conditionalFormatting>
  <conditionalFormatting sqref="E63:M63 C63">
    <cfRule type="expression" dxfId="876" priority="229" stopIfTrue="1">
      <formula>ISERROR</formula>
    </cfRule>
  </conditionalFormatting>
  <conditionalFormatting sqref="C63:Y63">
    <cfRule type="cellIs" dxfId="875" priority="228" stopIfTrue="1" operator="equal">
      <formula>0</formula>
    </cfRule>
  </conditionalFormatting>
  <conditionalFormatting sqref="E64:K64 M64 C64">
    <cfRule type="expression" dxfId="874" priority="227" stopIfTrue="1">
      <formula>ISERROR</formula>
    </cfRule>
  </conditionalFormatting>
  <conditionalFormatting sqref="C64:K64 M64:Y64">
    <cfRule type="cellIs" dxfId="873" priority="226" stopIfTrue="1" operator="equal">
      <formula>0</formula>
    </cfRule>
  </conditionalFormatting>
  <conditionalFormatting sqref="L64">
    <cfRule type="expression" dxfId="872" priority="225" stopIfTrue="1">
      <formula>ISERROR</formula>
    </cfRule>
  </conditionalFormatting>
  <conditionalFormatting sqref="L64">
    <cfRule type="cellIs" dxfId="871" priority="224" stopIfTrue="1" operator="equal">
      <formula>0</formula>
    </cfRule>
  </conditionalFormatting>
  <conditionalFormatting sqref="L64">
    <cfRule type="expression" dxfId="870" priority="223" stopIfTrue="1">
      <formula>ISERROR</formula>
    </cfRule>
  </conditionalFormatting>
  <conditionalFormatting sqref="E65:K65 M65 C65">
    <cfRule type="expression" dxfId="869" priority="222" stopIfTrue="1">
      <formula>ISERROR</formula>
    </cfRule>
  </conditionalFormatting>
  <conditionalFormatting sqref="C65:K65 M65:Y65">
    <cfRule type="cellIs" dxfId="868" priority="221" stopIfTrue="1" operator="equal">
      <formula>0</formula>
    </cfRule>
  </conditionalFormatting>
  <conditionalFormatting sqref="L65">
    <cfRule type="expression" dxfId="867" priority="220" stopIfTrue="1">
      <formula>ISERROR</formula>
    </cfRule>
  </conditionalFormatting>
  <conditionalFormatting sqref="L65">
    <cfRule type="cellIs" dxfId="866" priority="219" stopIfTrue="1" operator="equal">
      <formula>0</formula>
    </cfRule>
  </conditionalFormatting>
  <conditionalFormatting sqref="L65">
    <cfRule type="expression" dxfId="865" priority="218" stopIfTrue="1">
      <formula>ISERROR</formula>
    </cfRule>
  </conditionalFormatting>
  <conditionalFormatting sqref="E66:M66 C66">
    <cfRule type="expression" dxfId="864" priority="217" stopIfTrue="1">
      <formula>ISERROR</formula>
    </cfRule>
  </conditionalFormatting>
  <conditionalFormatting sqref="C66:Y66">
    <cfRule type="cellIs" dxfId="863" priority="216" stopIfTrue="1" operator="equal">
      <formula>0</formula>
    </cfRule>
  </conditionalFormatting>
  <conditionalFormatting sqref="E67:K67 M67 C67">
    <cfRule type="expression" dxfId="862" priority="215" stopIfTrue="1">
      <formula>ISERROR</formula>
    </cfRule>
  </conditionalFormatting>
  <conditionalFormatting sqref="C67:K67 M67:Y67">
    <cfRule type="cellIs" dxfId="861" priority="214" stopIfTrue="1" operator="equal">
      <formula>0</formula>
    </cfRule>
  </conditionalFormatting>
  <conditionalFormatting sqref="L67">
    <cfRule type="expression" dxfId="860" priority="213" stopIfTrue="1">
      <formula>ISERROR</formula>
    </cfRule>
  </conditionalFormatting>
  <conditionalFormatting sqref="L67">
    <cfRule type="cellIs" dxfId="859" priority="212" stopIfTrue="1" operator="equal">
      <formula>0</formula>
    </cfRule>
  </conditionalFormatting>
  <conditionalFormatting sqref="L67">
    <cfRule type="expression" dxfId="858" priority="211" stopIfTrue="1">
      <formula>ISERROR</formula>
    </cfRule>
  </conditionalFormatting>
  <conditionalFormatting sqref="E68:M68 C68">
    <cfRule type="expression" dxfId="857" priority="210" stopIfTrue="1">
      <formula>ISERROR</formula>
    </cfRule>
  </conditionalFormatting>
  <conditionalFormatting sqref="C68:Y68">
    <cfRule type="cellIs" dxfId="856" priority="209" stopIfTrue="1" operator="equal">
      <formula>0</formula>
    </cfRule>
  </conditionalFormatting>
  <conditionalFormatting sqref="E69:M69 C69">
    <cfRule type="expression" dxfId="855" priority="208" stopIfTrue="1">
      <formula>ISERROR</formula>
    </cfRule>
  </conditionalFormatting>
  <conditionalFormatting sqref="C69:Y69">
    <cfRule type="cellIs" dxfId="854" priority="207" stopIfTrue="1" operator="equal">
      <formula>0</formula>
    </cfRule>
  </conditionalFormatting>
  <conditionalFormatting sqref="E70:M70 C70">
    <cfRule type="expression" dxfId="853" priority="206" stopIfTrue="1">
      <formula>ISERROR</formula>
    </cfRule>
  </conditionalFormatting>
  <conditionalFormatting sqref="C70:Y70">
    <cfRule type="cellIs" dxfId="852" priority="205" stopIfTrue="1" operator="equal">
      <formula>0</formula>
    </cfRule>
  </conditionalFormatting>
  <conditionalFormatting sqref="E71:F71 L71:M71 C71">
    <cfRule type="expression" dxfId="851" priority="204" stopIfTrue="1">
      <formula>ISERROR</formula>
    </cfRule>
  </conditionalFormatting>
  <conditionalFormatting sqref="C71:F71 L71:Y71">
    <cfRule type="cellIs" dxfId="850" priority="203" stopIfTrue="1" operator="equal">
      <formula>0</formula>
    </cfRule>
  </conditionalFormatting>
  <conditionalFormatting sqref="G71:K71">
    <cfRule type="expression" dxfId="849" priority="202" stopIfTrue="1">
      <formula>ISERROR</formula>
    </cfRule>
  </conditionalFormatting>
  <conditionalFormatting sqref="G71:K71">
    <cfRule type="cellIs" dxfId="848" priority="201" stopIfTrue="1" operator="equal">
      <formula>0</formula>
    </cfRule>
  </conditionalFormatting>
  <conditionalFormatting sqref="E72:M72 C72">
    <cfRule type="expression" dxfId="847" priority="200" stopIfTrue="1">
      <formula>ISERROR</formula>
    </cfRule>
  </conditionalFormatting>
  <conditionalFormatting sqref="C72:Y72">
    <cfRule type="cellIs" dxfId="846" priority="199" stopIfTrue="1" operator="equal">
      <formula>0</formula>
    </cfRule>
  </conditionalFormatting>
  <conditionalFormatting sqref="E73:M73 C73">
    <cfRule type="expression" dxfId="845" priority="198" stopIfTrue="1">
      <formula>ISERROR</formula>
    </cfRule>
  </conditionalFormatting>
  <conditionalFormatting sqref="C73:Y73">
    <cfRule type="cellIs" dxfId="844" priority="197" stopIfTrue="1" operator="equal">
      <formula>0</formula>
    </cfRule>
  </conditionalFormatting>
  <conditionalFormatting sqref="E74:M74 C74">
    <cfRule type="expression" dxfId="843" priority="196" stopIfTrue="1">
      <formula>ISERROR</formula>
    </cfRule>
  </conditionalFormatting>
  <conditionalFormatting sqref="C74:Y74">
    <cfRule type="cellIs" dxfId="842" priority="195" stopIfTrue="1" operator="equal">
      <formula>0</formula>
    </cfRule>
  </conditionalFormatting>
  <conditionalFormatting sqref="E75:M75 C75">
    <cfRule type="expression" dxfId="841" priority="194" stopIfTrue="1">
      <formula>ISERROR</formula>
    </cfRule>
  </conditionalFormatting>
  <conditionalFormatting sqref="C75:Y75">
    <cfRule type="cellIs" dxfId="840" priority="193" stopIfTrue="1" operator="equal">
      <formula>0</formula>
    </cfRule>
  </conditionalFormatting>
  <conditionalFormatting sqref="E76:M76 C76">
    <cfRule type="expression" dxfId="839" priority="192" stopIfTrue="1">
      <formula>ISERROR</formula>
    </cfRule>
  </conditionalFormatting>
  <conditionalFormatting sqref="C76:Y76">
    <cfRule type="cellIs" dxfId="838" priority="191" stopIfTrue="1" operator="equal">
      <formula>0</formula>
    </cfRule>
  </conditionalFormatting>
  <conditionalFormatting sqref="E77:M77 C77">
    <cfRule type="expression" dxfId="837" priority="190" stopIfTrue="1">
      <formula>ISERROR</formula>
    </cfRule>
  </conditionalFormatting>
  <conditionalFormatting sqref="C77:Y77">
    <cfRule type="cellIs" dxfId="836" priority="189" stopIfTrue="1" operator="equal">
      <formula>0</formula>
    </cfRule>
  </conditionalFormatting>
  <conditionalFormatting sqref="E78:M78 C78">
    <cfRule type="expression" dxfId="835" priority="188" stopIfTrue="1">
      <formula>ISERROR</formula>
    </cfRule>
  </conditionalFormatting>
  <conditionalFormatting sqref="C78:Y78">
    <cfRule type="cellIs" dxfId="834" priority="187" stopIfTrue="1" operator="equal">
      <formula>0</formula>
    </cfRule>
  </conditionalFormatting>
  <conditionalFormatting sqref="E79:M79 C79">
    <cfRule type="expression" dxfId="833" priority="186" stopIfTrue="1">
      <formula>ISERROR</formula>
    </cfRule>
  </conditionalFormatting>
  <conditionalFormatting sqref="C79:Y79">
    <cfRule type="cellIs" dxfId="832" priority="185" stopIfTrue="1" operator="equal">
      <formula>0</formula>
    </cfRule>
  </conditionalFormatting>
  <conditionalFormatting sqref="E80:M80 C80">
    <cfRule type="expression" dxfId="831" priority="184" stopIfTrue="1">
      <formula>ISERROR</formula>
    </cfRule>
  </conditionalFormatting>
  <conditionalFormatting sqref="C80:Y80">
    <cfRule type="cellIs" dxfId="830" priority="183" stopIfTrue="1" operator="equal">
      <formula>0</formula>
    </cfRule>
  </conditionalFormatting>
  <conditionalFormatting sqref="E81:M81 C81">
    <cfRule type="expression" dxfId="829" priority="182" stopIfTrue="1">
      <formula>ISERROR</formula>
    </cfRule>
  </conditionalFormatting>
  <conditionalFormatting sqref="C81:Y81">
    <cfRule type="cellIs" dxfId="828" priority="181" stopIfTrue="1" operator="equal">
      <formula>0</formula>
    </cfRule>
  </conditionalFormatting>
  <conditionalFormatting sqref="E82:M82 C82">
    <cfRule type="expression" dxfId="827" priority="180" stopIfTrue="1">
      <formula>ISERROR</formula>
    </cfRule>
  </conditionalFormatting>
  <conditionalFormatting sqref="C82:Y82">
    <cfRule type="cellIs" dxfId="826" priority="179" stopIfTrue="1" operator="equal">
      <formula>0</formula>
    </cfRule>
  </conditionalFormatting>
  <conditionalFormatting sqref="E83:M83 C83">
    <cfRule type="expression" dxfId="825" priority="178" stopIfTrue="1">
      <formula>ISERROR</formula>
    </cfRule>
  </conditionalFormatting>
  <conditionalFormatting sqref="C83:Y83">
    <cfRule type="cellIs" dxfId="824" priority="177" stopIfTrue="1" operator="equal">
      <formula>0</formula>
    </cfRule>
  </conditionalFormatting>
  <conditionalFormatting sqref="E84:M84 C84">
    <cfRule type="expression" dxfId="823" priority="176" stopIfTrue="1">
      <formula>ISERROR</formula>
    </cfRule>
  </conditionalFormatting>
  <conditionalFormatting sqref="C84:Y84">
    <cfRule type="cellIs" dxfId="822" priority="175" stopIfTrue="1" operator="equal">
      <formula>0</formula>
    </cfRule>
  </conditionalFormatting>
  <conditionalFormatting sqref="E85:M85 C85">
    <cfRule type="expression" dxfId="821" priority="174" stopIfTrue="1">
      <formula>ISERROR</formula>
    </cfRule>
  </conditionalFormatting>
  <conditionalFormatting sqref="C85:Y85">
    <cfRule type="cellIs" dxfId="820" priority="173" stopIfTrue="1" operator="equal">
      <formula>0</formula>
    </cfRule>
  </conditionalFormatting>
  <conditionalFormatting sqref="E86:M86 C86">
    <cfRule type="expression" dxfId="819" priority="172" stopIfTrue="1">
      <formula>ISERROR</formula>
    </cfRule>
  </conditionalFormatting>
  <conditionalFormatting sqref="C86:Y86">
    <cfRule type="cellIs" dxfId="818" priority="171" stopIfTrue="1" operator="equal">
      <formula>0</formula>
    </cfRule>
  </conditionalFormatting>
  <conditionalFormatting sqref="L87:M87 C87">
    <cfRule type="expression" dxfId="817" priority="170" stopIfTrue="1">
      <formula>ISERROR</formula>
    </cfRule>
  </conditionalFormatting>
  <conditionalFormatting sqref="C87:D87 L87:Y87">
    <cfRule type="cellIs" dxfId="816" priority="169" stopIfTrue="1" operator="equal">
      <formula>0</formula>
    </cfRule>
  </conditionalFormatting>
  <conditionalFormatting sqref="E87:K87">
    <cfRule type="cellIs" dxfId="815" priority="167" stopIfTrue="1" operator="equal">
      <formula>0</formula>
    </cfRule>
  </conditionalFormatting>
  <conditionalFormatting sqref="E87:K87">
    <cfRule type="expression" dxfId="814" priority="168" stopIfTrue="1">
      <formula>ISERROR</formula>
    </cfRule>
  </conditionalFormatting>
  <conditionalFormatting sqref="E88:M88 C88">
    <cfRule type="expression" dxfId="813" priority="166" stopIfTrue="1">
      <formula>ISERROR</formula>
    </cfRule>
  </conditionalFormatting>
  <conditionalFormatting sqref="C88:Y88">
    <cfRule type="cellIs" dxfId="812" priority="165" stopIfTrue="1" operator="equal">
      <formula>0</formula>
    </cfRule>
  </conditionalFormatting>
  <conditionalFormatting sqref="E89:M89 C89">
    <cfRule type="expression" dxfId="811" priority="164" stopIfTrue="1">
      <formula>ISERROR</formula>
    </cfRule>
  </conditionalFormatting>
  <conditionalFormatting sqref="C89:Y89">
    <cfRule type="cellIs" dxfId="810" priority="163" stopIfTrue="1" operator="equal">
      <formula>0</formula>
    </cfRule>
  </conditionalFormatting>
  <conditionalFormatting sqref="E90:L90 C90">
    <cfRule type="expression" dxfId="809" priority="162" stopIfTrue="1">
      <formula>ISERROR</formula>
    </cfRule>
  </conditionalFormatting>
  <conditionalFormatting sqref="C90:L90 N90:Y90">
    <cfRule type="cellIs" dxfId="808" priority="161" stopIfTrue="1" operator="equal">
      <formula>0</formula>
    </cfRule>
  </conditionalFormatting>
  <conditionalFormatting sqref="M90">
    <cfRule type="expression" dxfId="807" priority="159" stopIfTrue="1">
      <formula>ISERROR</formula>
    </cfRule>
  </conditionalFormatting>
  <conditionalFormatting sqref="M90">
    <cfRule type="cellIs" dxfId="806" priority="160" stopIfTrue="1" operator="equal">
      <formula>0</formula>
    </cfRule>
  </conditionalFormatting>
  <conditionalFormatting sqref="E91:M91 C91">
    <cfRule type="expression" dxfId="805" priority="158" stopIfTrue="1">
      <formula>ISERROR</formula>
    </cfRule>
  </conditionalFormatting>
  <conditionalFormatting sqref="C91:Y91">
    <cfRule type="cellIs" dxfId="804" priority="157" stopIfTrue="1" operator="equal">
      <formula>0</formula>
    </cfRule>
  </conditionalFormatting>
  <conditionalFormatting sqref="E92:M92 C92">
    <cfRule type="expression" dxfId="803" priority="156" stopIfTrue="1">
      <formula>ISERROR</formula>
    </cfRule>
  </conditionalFormatting>
  <conditionalFormatting sqref="C92:Y92">
    <cfRule type="cellIs" dxfId="802" priority="155" stopIfTrue="1" operator="equal">
      <formula>0</formula>
    </cfRule>
  </conditionalFormatting>
  <conditionalFormatting sqref="E93:M93 C93">
    <cfRule type="expression" dxfId="801" priority="154" stopIfTrue="1">
      <formula>ISERROR</formula>
    </cfRule>
  </conditionalFormatting>
  <conditionalFormatting sqref="C93:Y93">
    <cfRule type="cellIs" dxfId="800" priority="153" stopIfTrue="1" operator="equal">
      <formula>0</formula>
    </cfRule>
  </conditionalFormatting>
  <conditionalFormatting sqref="E94:M94 C94">
    <cfRule type="expression" dxfId="799" priority="152" stopIfTrue="1">
      <formula>ISERROR</formula>
    </cfRule>
  </conditionalFormatting>
  <conditionalFormatting sqref="C94:Y94">
    <cfRule type="cellIs" dxfId="798" priority="151" stopIfTrue="1" operator="equal">
      <formula>0</formula>
    </cfRule>
  </conditionalFormatting>
  <conditionalFormatting sqref="E95:M95 C95">
    <cfRule type="expression" dxfId="797" priority="150" stopIfTrue="1">
      <formula>ISERROR</formula>
    </cfRule>
  </conditionalFormatting>
  <conditionalFormatting sqref="C95:Y95">
    <cfRule type="cellIs" dxfId="796" priority="149" stopIfTrue="1" operator="equal">
      <formula>0</formula>
    </cfRule>
  </conditionalFormatting>
  <conditionalFormatting sqref="E96:M96 C96">
    <cfRule type="expression" dxfId="795" priority="148" stopIfTrue="1">
      <formula>ISERROR</formula>
    </cfRule>
  </conditionalFormatting>
  <conditionalFormatting sqref="C96:Y96">
    <cfRule type="cellIs" dxfId="794" priority="147" stopIfTrue="1" operator="equal">
      <formula>0</formula>
    </cfRule>
  </conditionalFormatting>
  <conditionalFormatting sqref="E97:M97 C97">
    <cfRule type="expression" dxfId="793" priority="146" stopIfTrue="1">
      <formula>ISERROR</formula>
    </cfRule>
  </conditionalFormatting>
  <conditionalFormatting sqref="C97:Y97">
    <cfRule type="cellIs" dxfId="792" priority="145" stopIfTrue="1" operator="equal">
      <formula>0</formula>
    </cfRule>
  </conditionalFormatting>
  <conditionalFormatting sqref="E98:M98 C98">
    <cfRule type="expression" dxfId="791" priority="144" stopIfTrue="1">
      <formula>ISERROR</formula>
    </cfRule>
  </conditionalFormatting>
  <conditionalFormatting sqref="C98:Y98">
    <cfRule type="cellIs" dxfId="790" priority="143" stopIfTrue="1" operator="equal">
      <formula>0</formula>
    </cfRule>
  </conditionalFormatting>
  <conditionalFormatting sqref="E99:M99 C99">
    <cfRule type="expression" dxfId="789" priority="142" stopIfTrue="1">
      <formula>ISERROR</formula>
    </cfRule>
  </conditionalFormatting>
  <conditionalFormatting sqref="C99:Y99">
    <cfRule type="cellIs" dxfId="788" priority="141" stopIfTrue="1" operator="equal">
      <formula>0</formula>
    </cfRule>
  </conditionalFormatting>
  <conditionalFormatting sqref="E100:M100 C100">
    <cfRule type="expression" dxfId="787" priority="140" stopIfTrue="1">
      <formula>ISERROR</formula>
    </cfRule>
  </conditionalFormatting>
  <conditionalFormatting sqref="C100:Y100">
    <cfRule type="cellIs" dxfId="786" priority="139" stopIfTrue="1" operator="equal">
      <formula>0</formula>
    </cfRule>
  </conditionalFormatting>
  <conditionalFormatting sqref="E101:M101 C101">
    <cfRule type="expression" dxfId="785" priority="138" stopIfTrue="1">
      <formula>ISERROR</formula>
    </cfRule>
  </conditionalFormatting>
  <conditionalFormatting sqref="C101:Y101">
    <cfRule type="cellIs" dxfId="784" priority="137" stopIfTrue="1" operator="equal">
      <formula>0</formula>
    </cfRule>
  </conditionalFormatting>
  <conditionalFormatting sqref="E102:M102 C102">
    <cfRule type="expression" dxfId="783" priority="136" stopIfTrue="1">
      <formula>ISERROR</formula>
    </cfRule>
  </conditionalFormatting>
  <conditionalFormatting sqref="C102:Y102">
    <cfRule type="cellIs" dxfId="782" priority="135" stopIfTrue="1" operator="equal">
      <formula>0</formula>
    </cfRule>
  </conditionalFormatting>
  <conditionalFormatting sqref="E103:M103 C103">
    <cfRule type="expression" dxfId="781" priority="134" stopIfTrue="1">
      <formula>ISERROR</formula>
    </cfRule>
  </conditionalFormatting>
  <conditionalFormatting sqref="C103:Y103">
    <cfRule type="cellIs" dxfId="780" priority="133" stopIfTrue="1" operator="equal">
      <formula>0</formula>
    </cfRule>
  </conditionalFormatting>
  <conditionalFormatting sqref="E104:M104 C104">
    <cfRule type="expression" dxfId="779" priority="132" stopIfTrue="1">
      <formula>ISERROR</formula>
    </cfRule>
  </conditionalFormatting>
  <conditionalFormatting sqref="C104:Y104">
    <cfRule type="cellIs" dxfId="778" priority="131" stopIfTrue="1" operator="equal">
      <formula>0</formula>
    </cfRule>
  </conditionalFormatting>
  <conditionalFormatting sqref="E105:M105 C105">
    <cfRule type="expression" dxfId="777" priority="130" stopIfTrue="1">
      <formula>ISERROR</formula>
    </cfRule>
  </conditionalFormatting>
  <conditionalFormatting sqref="C105:Y105">
    <cfRule type="cellIs" dxfId="776" priority="129" stopIfTrue="1" operator="equal">
      <formula>0</formula>
    </cfRule>
  </conditionalFormatting>
  <conditionalFormatting sqref="E106:M106 C106">
    <cfRule type="expression" dxfId="775" priority="128" stopIfTrue="1">
      <formula>ISERROR</formula>
    </cfRule>
  </conditionalFormatting>
  <conditionalFormatting sqref="C106:Y106">
    <cfRule type="cellIs" dxfId="774" priority="127" stopIfTrue="1" operator="equal">
      <formula>0</formula>
    </cfRule>
  </conditionalFormatting>
  <conditionalFormatting sqref="E107:M107 C107">
    <cfRule type="expression" dxfId="773" priority="126" stopIfTrue="1">
      <formula>ISERROR</formula>
    </cfRule>
  </conditionalFormatting>
  <conditionalFormatting sqref="C107:Y107">
    <cfRule type="cellIs" dxfId="772" priority="125" stopIfTrue="1" operator="equal">
      <formula>0</formula>
    </cfRule>
  </conditionalFormatting>
  <conditionalFormatting sqref="E108:M108 C108">
    <cfRule type="expression" dxfId="771" priority="124" stopIfTrue="1">
      <formula>ISERROR</formula>
    </cfRule>
  </conditionalFormatting>
  <conditionalFormatting sqref="C108:Y108">
    <cfRule type="cellIs" dxfId="770" priority="123" stopIfTrue="1" operator="equal">
      <formula>0</formula>
    </cfRule>
  </conditionalFormatting>
  <conditionalFormatting sqref="E109:M109 C109">
    <cfRule type="expression" dxfId="769" priority="122" stopIfTrue="1">
      <formula>ISERROR</formula>
    </cfRule>
  </conditionalFormatting>
  <conditionalFormatting sqref="C109:Y109">
    <cfRule type="cellIs" dxfId="768" priority="121" stopIfTrue="1" operator="equal">
      <formula>0</formula>
    </cfRule>
  </conditionalFormatting>
  <conditionalFormatting sqref="E110:M110 C110">
    <cfRule type="expression" dxfId="767" priority="120" stopIfTrue="1">
      <formula>ISERROR</formula>
    </cfRule>
  </conditionalFormatting>
  <conditionalFormatting sqref="C110:Y110">
    <cfRule type="cellIs" dxfId="766" priority="119" stopIfTrue="1" operator="equal">
      <formula>0</formula>
    </cfRule>
  </conditionalFormatting>
  <conditionalFormatting sqref="E111:M111 C111">
    <cfRule type="expression" dxfId="765" priority="118" stopIfTrue="1">
      <formula>ISERROR</formula>
    </cfRule>
  </conditionalFormatting>
  <conditionalFormatting sqref="C111:Y111">
    <cfRule type="cellIs" dxfId="764" priority="117" stopIfTrue="1" operator="equal">
      <formula>0</formula>
    </cfRule>
  </conditionalFormatting>
  <conditionalFormatting sqref="E112:M112 C112">
    <cfRule type="expression" dxfId="763" priority="116" stopIfTrue="1">
      <formula>ISERROR</formula>
    </cfRule>
  </conditionalFormatting>
  <conditionalFormatting sqref="C112:Y112">
    <cfRule type="cellIs" dxfId="762" priority="115" stopIfTrue="1" operator="equal">
      <formula>0</formula>
    </cfRule>
  </conditionalFormatting>
  <conditionalFormatting sqref="E113:M113 C113">
    <cfRule type="expression" dxfId="761" priority="114" stopIfTrue="1">
      <formula>ISERROR</formula>
    </cfRule>
  </conditionalFormatting>
  <conditionalFormatting sqref="C113:Y113">
    <cfRule type="cellIs" dxfId="760" priority="113" stopIfTrue="1" operator="equal">
      <formula>0</formula>
    </cfRule>
  </conditionalFormatting>
  <conditionalFormatting sqref="E114:M114 C114">
    <cfRule type="expression" dxfId="759" priority="112" stopIfTrue="1">
      <formula>ISERROR</formula>
    </cfRule>
  </conditionalFormatting>
  <conditionalFormatting sqref="C114:Y114">
    <cfRule type="cellIs" dxfId="758" priority="111" stopIfTrue="1" operator="equal">
      <formula>0</formula>
    </cfRule>
  </conditionalFormatting>
  <conditionalFormatting sqref="E115:M115 C115">
    <cfRule type="expression" dxfId="757" priority="110" stopIfTrue="1">
      <formula>ISERROR</formula>
    </cfRule>
  </conditionalFormatting>
  <conditionalFormatting sqref="C115:Y115">
    <cfRule type="cellIs" dxfId="756" priority="109" stopIfTrue="1" operator="equal">
      <formula>0</formula>
    </cfRule>
  </conditionalFormatting>
  <conditionalFormatting sqref="E116:M116 C116">
    <cfRule type="expression" dxfId="755" priority="108" stopIfTrue="1">
      <formula>ISERROR</formula>
    </cfRule>
  </conditionalFormatting>
  <conditionalFormatting sqref="C116:Y116">
    <cfRule type="cellIs" dxfId="754" priority="107" stopIfTrue="1" operator="equal">
      <formula>0</formula>
    </cfRule>
  </conditionalFormatting>
  <conditionalFormatting sqref="F117:M117 C117">
    <cfRule type="expression" dxfId="753" priority="106" stopIfTrue="1">
      <formula>ISERROR</formula>
    </cfRule>
  </conditionalFormatting>
  <conditionalFormatting sqref="C117:D117 F117:Y117">
    <cfRule type="cellIs" dxfId="752" priority="105" stopIfTrue="1" operator="equal">
      <formula>0</formula>
    </cfRule>
  </conditionalFormatting>
  <conditionalFormatting sqref="C118 E118:M118">
    <cfRule type="expression" dxfId="751" priority="104" stopIfTrue="1">
      <formula>ISERROR</formula>
    </cfRule>
  </conditionalFormatting>
  <conditionalFormatting sqref="C118:Y118">
    <cfRule type="cellIs" dxfId="750" priority="103" stopIfTrue="1" operator="equal">
      <formula>0</formula>
    </cfRule>
  </conditionalFormatting>
  <conditionalFormatting sqref="C119 E119:M119">
    <cfRule type="expression" dxfId="749" priority="102" stopIfTrue="1">
      <formula>ISERROR</formula>
    </cfRule>
  </conditionalFormatting>
  <conditionalFormatting sqref="C119:Y119">
    <cfRule type="cellIs" dxfId="748" priority="101" stopIfTrue="1" operator="equal">
      <formula>0</formula>
    </cfRule>
  </conditionalFormatting>
  <conditionalFormatting sqref="C120 E120:M120">
    <cfRule type="expression" dxfId="747" priority="100" stopIfTrue="1">
      <formula>ISERROR</formula>
    </cfRule>
  </conditionalFormatting>
  <conditionalFormatting sqref="C120:Y120">
    <cfRule type="cellIs" dxfId="746" priority="99" stopIfTrue="1" operator="equal">
      <formula>0</formula>
    </cfRule>
  </conditionalFormatting>
  <conditionalFormatting sqref="C121 E121:M121">
    <cfRule type="expression" dxfId="745" priority="98" stopIfTrue="1">
      <formula>ISERROR</formula>
    </cfRule>
  </conditionalFormatting>
  <conditionalFormatting sqref="C121:Y121">
    <cfRule type="cellIs" dxfId="744" priority="97" stopIfTrue="1" operator="equal">
      <formula>0</formula>
    </cfRule>
  </conditionalFormatting>
  <conditionalFormatting sqref="C122 E122:M122">
    <cfRule type="expression" dxfId="743" priority="96" stopIfTrue="1">
      <formula>ISERROR</formula>
    </cfRule>
  </conditionalFormatting>
  <conditionalFormatting sqref="C122:Y122">
    <cfRule type="cellIs" dxfId="742" priority="95" stopIfTrue="1" operator="equal">
      <formula>0</formula>
    </cfRule>
  </conditionalFormatting>
  <conditionalFormatting sqref="C123 E123:M123">
    <cfRule type="expression" dxfId="741" priority="94" stopIfTrue="1">
      <formula>ISERROR</formula>
    </cfRule>
  </conditionalFormatting>
  <conditionalFormatting sqref="C123:Y123">
    <cfRule type="cellIs" dxfId="740" priority="93" stopIfTrue="1" operator="equal">
      <formula>0</formula>
    </cfRule>
  </conditionalFormatting>
  <conditionalFormatting sqref="C124 E124:M124">
    <cfRule type="expression" dxfId="739" priority="92" stopIfTrue="1">
      <formula>ISERROR</formula>
    </cfRule>
  </conditionalFormatting>
  <conditionalFormatting sqref="C124:Y124">
    <cfRule type="cellIs" dxfId="738" priority="91" stopIfTrue="1" operator="equal">
      <formula>0</formula>
    </cfRule>
  </conditionalFormatting>
  <conditionalFormatting sqref="C125 E125:M125">
    <cfRule type="expression" dxfId="737" priority="90" stopIfTrue="1">
      <formula>ISERROR</formula>
    </cfRule>
  </conditionalFormatting>
  <conditionalFormatting sqref="C125:Y125">
    <cfRule type="cellIs" dxfId="736" priority="89" stopIfTrue="1" operator="equal">
      <formula>0</formula>
    </cfRule>
  </conditionalFormatting>
  <conditionalFormatting sqref="C127 E127:M127">
    <cfRule type="expression" dxfId="735" priority="88" stopIfTrue="1">
      <formula>ISERROR</formula>
    </cfRule>
  </conditionalFormatting>
  <conditionalFormatting sqref="C127:Y127">
    <cfRule type="cellIs" dxfId="734" priority="87" stopIfTrue="1" operator="equal">
      <formula>0</formula>
    </cfRule>
  </conditionalFormatting>
  <conditionalFormatting sqref="C128 E128:M128">
    <cfRule type="expression" dxfId="733" priority="86" stopIfTrue="1">
      <formula>ISERROR</formula>
    </cfRule>
  </conditionalFormatting>
  <conditionalFormatting sqref="C128:Y128">
    <cfRule type="cellIs" dxfId="732" priority="85" stopIfTrue="1" operator="equal">
      <formula>0</formula>
    </cfRule>
  </conditionalFormatting>
  <conditionalFormatting sqref="C130 E130:M130">
    <cfRule type="expression" dxfId="731" priority="84" stopIfTrue="1">
      <formula>ISERROR</formula>
    </cfRule>
  </conditionalFormatting>
  <conditionalFormatting sqref="C130:Y130">
    <cfRule type="cellIs" dxfId="730" priority="83" stopIfTrue="1" operator="equal">
      <formula>0</formula>
    </cfRule>
  </conditionalFormatting>
  <conditionalFormatting sqref="C131 E131:M131">
    <cfRule type="expression" dxfId="729" priority="82" stopIfTrue="1">
      <formula>ISERROR</formula>
    </cfRule>
  </conditionalFormatting>
  <conditionalFormatting sqref="C131:Y131">
    <cfRule type="cellIs" dxfId="728" priority="81" stopIfTrue="1" operator="equal">
      <formula>0</formula>
    </cfRule>
  </conditionalFormatting>
  <conditionalFormatting sqref="C133 E133:M133">
    <cfRule type="expression" dxfId="727" priority="80" stopIfTrue="1">
      <formula>ISERROR</formula>
    </cfRule>
  </conditionalFormatting>
  <conditionalFormatting sqref="C133:Y133">
    <cfRule type="cellIs" dxfId="726" priority="79" stopIfTrue="1" operator="equal">
      <formula>0</formula>
    </cfRule>
  </conditionalFormatting>
  <conditionalFormatting sqref="C134 E134:M134">
    <cfRule type="expression" dxfId="725" priority="78" stopIfTrue="1">
      <formula>ISERROR</formula>
    </cfRule>
  </conditionalFormatting>
  <conditionalFormatting sqref="C134:Y134">
    <cfRule type="cellIs" dxfId="724" priority="77" stopIfTrue="1" operator="equal">
      <formula>0</formula>
    </cfRule>
  </conditionalFormatting>
  <conditionalFormatting sqref="C135 E135:M135">
    <cfRule type="expression" dxfId="723" priority="76" stopIfTrue="1">
      <formula>ISERROR</formula>
    </cfRule>
  </conditionalFormatting>
  <conditionalFormatting sqref="C135:Y135">
    <cfRule type="cellIs" dxfId="722" priority="75" stopIfTrue="1" operator="equal">
      <formula>0</formula>
    </cfRule>
  </conditionalFormatting>
  <conditionalFormatting sqref="C136 E136:M136">
    <cfRule type="expression" dxfId="721" priority="74" stopIfTrue="1">
      <formula>ISERROR</formula>
    </cfRule>
  </conditionalFormatting>
  <conditionalFormatting sqref="C136:Y136">
    <cfRule type="cellIs" dxfId="720" priority="73" stopIfTrue="1" operator="equal">
      <formula>0</formula>
    </cfRule>
  </conditionalFormatting>
  <conditionalFormatting sqref="C137 E137:M137">
    <cfRule type="expression" dxfId="719" priority="72" stopIfTrue="1">
      <formula>ISERROR</formula>
    </cfRule>
  </conditionalFormatting>
  <conditionalFormatting sqref="C137:Y137">
    <cfRule type="cellIs" dxfId="718" priority="71" stopIfTrue="1" operator="equal">
      <formula>0</formula>
    </cfRule>
  </conditionalFormatting>
  <conditionalFormatting sqref="C138 E138:M138">
    <cfRule type="expression" dxfId="717" priority="70" stopIfTrue="1">
      <formula>ISERROR</formula>
    </cfRule>
  </conditionalFormatting>
  <conditionalFormatting sqref="C138:Y138">
    <cfRule type="cellIs" dxfId="716" priority="69" stopIfTrue="1" operator="equal">
      <formula>0</formula>
    </cfRule>
  </conditionalFormatting>
  <conditionalFormatting sqref="C139 E139:M139">
    <cfRule type="expression" dxfId="715" priority="68" stopIfTrue="1">
      <formula>ISERROR</formula>
    </cfRule>
  </conditionalFormatting>
  <conditionalFormatting sqref="C139:Y139">
    <cfRule type="cellIs" dxfId="714" priority="67" stopIfTrue="1" operator="equal">
      <formula>0</formula>
    </cfRule>
  </conditionalFormatting>
  <conditionalFormatting sqref="C140 E140:M140">
    <cfRule type="expression" dxfId="713" priority="66" stopIfTrue="1">
      <formula>ISERROR</formula>
    </cfRule>
  </conditionalFormatting>
  <conditionalFormatting sqref="C140:Y140">
    <cfRule type="cellIs" dxfId="712" priority="65" stopIfTrue="1" operator="equal">
      <formula>0</formula>
    </cfRule>
  </conditionalFormatting>
  <conditionalFormatting sqref="C141 E141:M141">
    <cfRule type="expression" dxfId="711" priority="64" stopIfTrue="1">
      <formula>ISERROR</formula>
    </cfRule>
  </conditionalFormatting>
  <conditionalFormatting sqref="C141:Y141">
    <cfRule type="cellIs" dxfId="710" priority="63" stopIfTrue="1" operator="equal">
      <formula>0</formula>
    </cfRule>
  </conditionalFormatting>
  <conditionalFormatting sqref="C142 E142:M142">
    <cfRule type="expression" dxfId="709" priority="62" stopIfTrue="1">
      <formula>ISERROR</formula>
    </cfRule>
  </conditionalFormatting>
  <conditionalFormatting sqref="C142:Y142">
    <cfRule type="cellIs" dxfId="708" priority="61" stopIfTrue="1" operator="equal">
      <formula>0</formula>
    </cfRule>
  </conditionalFormatting>
  <conditionalFormatting sqref="C143 E143:M143">
    <cfRule type="expression" dxfId="707" priority="60" stopIfTrue="1">
      <formula>ISERROR</formula>
    </cfRule>
  </conditionalFormatting>
  <conditionalFormatting sqref="C143:Y143">
    <cfRule type="cellIs" dxfId="706" priority="59" stopIfTrue="1" operator="equal">
      <formula>0</formula>
    </cfRule>
  </conditionalFormatting>
  <conditionalFormatting sqref="C144 E144:M144">
    <cfRule type="expression" dxfId="705" priority="58" stopIfTrue="1">
      <formula>ISERROR</formula>
    </cfRule>
  </conditionalFormatting>
  <conditionalFormatting sqref="C144:Y144">
    <cfRule type="cellIs" dxfId="704" priority="57" stopIfTrue="1" operator="equal">
      <formula>0</formula>
    </cfRule>
  </conditionalFormatting>
  <conditionalFormatting sqref="C145 E145:M145">
    <cfRule type="expression" dxfId="703" priority="56" stopIfTrue="1">
      <formula>ISERROR</formula>
    </cfRule>
  </conditionalFormatting>
  <conditionalFormatting sqref="C145:Y145">
    <cfRule type="cellIs" dxfId="702" priority="55" stopIfTrue="1" operator="equal">
      <formula>0</formula>
    </cfRule>
  </conditionalFormatting>
  <conditionalFormatting sqref="C147 E147:M147">
    <cfRule type="expression" dxfId="701" priority="54" stopIfTrue="1">
      <formula>ISERROR</formula>
    </cfRule>
  </conditionalFormatting>
  <conditionalFormatting sqref="C147:Y147">
    <cfRule type="cellIs" dxfId="700" priority="53" stopIfTrue="1" operator="equal">
      <formula>0</formula>
    </cfRule>
  </conditionalFormatting>
  <conditionalFormatting sqref="C148 E148:M148">
    <cfRule type="expression" dxfId="699" priority="52" stopIfTrue="1">
      <formula>ISERROR</formula>
    </cfRule>
  </conditionalFormatting>
  <conditionalFormatting sqref="C148:Y148">
    <cfRule type="cellIs" dxfId="698" priority="51" stopIfTrue="1" operator="equal">
      <formula>0</formula>
    </cfRule>
  </conditionalFormatting>
  <conditionalFormatting sqref="C149 E149:M149">
    <cfRule type="expression" dxfId="697" priority="50" stopIfTrue="1">
      <formula>ISERROR</formula>
    </cfRule>
  </conditionalFormatting>
  <conditionalFormatting sqref="C149:Y149">
    <cfRule type="cellIs" dxfId="696" priority="49" stopIfTrue="1" operator="equal">
      <formula>0</formula>
    </cfRule>
  </conditionalFormatting>
  <conditionalFormatting sqref="C150 E150:M150">
    <cfRule type="expression" dxfId="695" priority="48" stopIfTrue="1">
      <formula>ISERROR</formula>
    </cfRule>
  </conditionalFormatting>
  <conditionalFormatting sqref="C150:Y150">
    <cfRule type="cellIs" dxfId="694" priority="47" stopIfTrue="1" operator="equal">
      <formula>0</formula>
    </cfRule>
  </conditionalFormatting>
  <conditionalFormatting sqref="C151 E151:M151">
    <cfRule type="expression" dxfId="693" priority="46" stopIfTrue="1">
      <formula>ISERROR</formula>
    </cfRule>
  </conditionalFormatting>
  <conditionalFormatting sqref="C151:Y151">
    <cfRule type="cellIs" dxfId="692" priority="45" stopIfTrue="1" operator="equal">
      <formula>0</formula>
    </cfRule>
  </conditionalFormatting>
  <conditionalFormatting sqref="C152 E152:M152">
    <cfRule type="expression" dxfId="691" priority="44" stopIfTrue="1">
      <formula>ISERROR</formula>
    </cfRule>
  </conditionalFormatting>
  <conditionalFormatting sqref="C152:Y152">
    <cfRule type="cellIs" dxfId="690" priority="43" stopIfTrue="1" operator="equal">
      <formula>0</formula>
    </cfRule>
  </conditionalFormatting>
  <conditionalFormatting sqref="C153 E153:M153">
    <cfRule type="expression" dxfId="689" priority="42" stopIfTrue="1">
      <formula>ISERROR</formula>
    </cfRule>
  </conditionalFormatting>
  <conditionalFormatting sqref="C153:Y153">
    <cfRule type="cellIs" dxfId="688" priority="41" stopIfTrue="1" operator="equal">
      <formula>0</formula>
    </cfRule>
  </conditionalFormatting>
  <conditionalFormatting sqref="C154 E154:M154">
    <cfRule type="expression" dxfId="687" priority="40" stopIfTrue="1">
      <formula>ISERROR</formula>
    </cfRule>
  </conditionalFormatting>
  <conditionalFormatting sqref="C154:Y154">
    <cfRule type="cellIs" dxfId="686" priority="39" stopIfTrue="1" operator="equal">
      <formula>0</formula>
    </cfRule>
  </conditionalFormatting>
  <conditionalFormatting sqref="C155 E155:M155">
    <cfRule type="expression" dxfId="685" priority="38" stopIfTrue="1">
      <formula>ISERROR</formula>
    </cfRule>
  </conditionalFormatting>
  <conditionalFormatting sqref="C155:Y155">
    <cfRule type="cellIs" dxfId="684" priority="37" stopIfTrue="1" operator="equal">
      <formula>0</formula>
    </cfRule>
  </conditionalFormatting>
  <conditionalFormatting sqref="C156 E156:M156">
    <cfRule type="expression" dxfId="683" priority="36" stopIfTrue="1">
      <formula>ISERROR</formula>
    </cfRule>
  </conditionalFormatting>
  <conditionalFormatting sqref="C156:Y156">
    <cfRule type="cellIs" dxfId="682" priority="35" stopIfTrue="1" operator="equal">
      <formula>0</formula>
    </cfRule>
  </conditionalFormatting>
  <conditionalFormatting sqref="C157 E157:M157">
    <cfRule type="expression" dxfId="681" priority="34" stopIfTrue="1">
      <formula>ISERROR</formula>
    </cfRule>
  </conditionalFormatting>
  <conditionalFormatting sqref="C157:Y157">
    <cfRule type="cellIs" dxfId="680" priority="33" stopIfTrue="1" operator="equal">
      <formula>0</formula>
    </cfRule>
  </conditionalFormatting>
  <conditionalFormatting sqref="C158 E158:M158">
    <cfRule type="expression" dxfId="679" priority="32" stopIfTrue="1">
      <formula>ISERROR</formula>
    </cfRule>
  </conditionalFormatting>
  <conditionalFormatting sqref="C158:Y158">
    <cfRule type="cellIs" dxfId="678" priority="31" stopIfTrue="1" operator="equal">
      <formula>0</formula>
    </cfRule>
  </conditionalFormatting>
  <conditionalFormatting sqref="C159 E159:M159">
    <cfRule type="expression" dxfId="677" priority="30" stopIfTrue="1">
      <formula>ISERROR</formula>
    </cfRule>
  </conditionalFormatting>
  <conditionalFormatting sqref="C159:Y159">
    <cfRule type="cellIs" dxfId="676" priority="29" stopIfTrue="1" operator="equal">
      <formula>0</formula>
    </cfRule>
  </conditionalFormatting>
  <conditionalFormatting sqref="C160 E160:M160">
    <cfRule type="expression" dxfId="675" priority="28" stopIfTrue="1">
      <formula>ISERROR</formula>
    </cfRule>
  </conditionalFormatting>
  <conditionalFormatting sqref="C160:Y160">
    <cfRule type="cellIs" dxfId="674" priority="27" stopIfTrue="1" operator="equal">
      <formula>0</formula>
    </cfRule>
  </conditionalFormatting>
  <conditionalFormatting sqref="C161 E161:M161">
    <cfRule type="expression" dxfId="673" priority="26" stopIfTrue="1">
      <formula>ISERROR</formula>
    </cfRule>
  </conditionalFormatting>
  <conditionalFormatting sqref="C161:Y161">
    <cfRule type="cellIs" dxfId="672" priority="25" stopIfTrue="1" operator="equal">
      <formula>0</formula>
    </cfRule>
  </conditionalFormatting>
  <conditionalFormatting sqref="C162 E162:M162">
    <cfRule type="expression" dxfId="671" priority="24" stopIfTrue="1">
      <formula>ISERROR</formula>
    </cfRule>
  </conditionalFormatting>
  <conditionalFormatting sqref="C162:Y162">
    <cfRule type="cellIs" dxfId="670" priority="23" stopIfTrue="1" operator="equal">
      <formula>0</formula>
    </cfRule>
  </conditionalFormatting>
  <conditionalFormatting sqref="C163 E163:M163">
    <cfRule type="expression" dxfId="669" priority="22" stopIfTrue="1">
      <formula>ISERROR</formula>
    </cfRule>
  </conditionalFormatting>
  <conditionalFormatting sqref="C163:Y163">
    <cfRule type="cellIs" dxfId="668" priority="21" stopIfTrue="1" operator="equal">
      <formula>0</formula>
    </cfRule>
  </conditionalFormatting>
  <conditionalFormatting sqref="C164 E164:M164">
    <cfRule type="expression" dxfId="667" priority="20" stopIfTrue="1">
      <formula>ISERROR</formula>
    </cfRule>
  </conditionalFormatting>
  <conditionalFormatting sqref="C164:Y164">
    <cfRule type="cellIs" dxfId="666" priority="19" stopIfTrue="1" operator="equal">
      <formula>0</formula>
    </cfRule>
  </conditionalFormatting>
  <conditionalFormatting sqref="C165 E165:M165">
    <cfRule type="expression" dxfId="665" priority="18" stopIfTrue="1">
      <formula>ISERROR</formula>
    </cfRule>
  </conditionalFormatting>
  <conditionalFormatting sqref="C165:Y165">
    <cfRule type="cellIs" dxfId="664" priority="17" stopIfTrue="1" operator="equal">
      <formula>0</formula>
    </cfRule>
  </conditionalFormatting>
  <conditionalFormatting sqref="C166 E166:M166">
    <cfRule type="expression" dxfId="663" priority="16" stopIfTrue="1">
      <formula>ISERROR</formula>
    </cfRule>
  </conditionalFormatting>
  <conditionalFormatting sqref="C166:Y166">
    <cfRule type="cellIs" dxfId="662" priority="15" stopIfTrue="1" operator="equal">
      <formula>0</formula>
    </cfRule>
  </conditionalFormatting>
  <conditionalFormatting sqref="C167 E167:M167">
    <cfRule type="expression" dxfId="661" priority="14" stopIfTrue="1">
      <formula>ISERROR</formula>
    </cfRule>
  </conditionalFormatting>
  <conditionalFormatting sqref="C167:Y167">
    <cfRule type="cellIs" dxfId="660" priority="13" stopIfTrue="1" operator="equal">
      <formula>0</formula>
    </cfRule>
  </conditionalFormatting>
  <conditionalFormatting sqref="C168 E168:M168">
    <cfRule type="expression" dxfId="659" priority="12" stopIfTrue="1">
      <formula>ISERROR</formula>
    </cfRule>
  </conditionalFormatting>
  <conditionalFormatting sqref="C168:Y168">
    <cfRule type="cellIs" dxfId="658" priority="11" stopIfTrue="1" operator="equal">
      <formula>0</formula>
    </cfRule>
  </conditionalFormatting>
  <conditionalFormatting sqref="C169 E169:M169">
    <cfRule type="expression" dxfId="657" priority="10" stopIfTrue="1">
      <formula>ISERROR</formula>
    </cfRule>
  </conditionalFormatting>
  <conditionalFormatting sqref="C169:Y169">
    <cfRule type="cellIs" dxfId="656" priority="9" stopIfTrue="1" operator="equal">
      <formula>0</formula>
    </cfRule>
  </conditionalFormatting>
  <conditionalFormatting sqref="C170 E170:M170">
    <cfRule type="expression" dxfId="655" priority="8" stopIfTrue="1">
      <formula>ISERROR</formula>
    </cfRule>
  </conditionalFormatting>
  <conditionalFormatting sqref="C170:Y170">
    <cfRule type="cellIs" dxfId="654" priority="7" stopIfTrue="1" operator="equal">
      <formula>0</formula>
    </cfRule>
  </conditionalFormatting>
  <conditionalFormatting sqref="C171 E171:M171">
    <cfRule type="expression" dxfId="653" priority="6" stopIfTrue="1">
      <formula>ISERROR</formula>
    </cfRule>
  </conditionalFormatting>
  <conditionalFormatting sqref="C171:Y171">
    <cfRule type="cellIs" dxfId="652" priority="5" stopIfTrue="1" operator="equal">
      <formula>0</formula>
    </cfRule>
  </conditionalFormatting>
  <conditionalFormatting sqref="C172 E172:M172">
    <cfRule type="expression" dxfId="651" priority="4" stopIfTrue="1">
      <formula>ISERROR</formula>
    </cfRule>
  </conditionalFormatting>
  <conditionalFormatting sqref="C172:Y172">
    <cfRule type="cellIs" dxfId="650" priority="3" stopIfTrue="1" operator="equal">
      <formula>0</formula>
    </cfRule>
  </conditionalFormatting>
  <conditionalFormatting sqref="C173 E173:M173">
    <cfRule type="expression" dxfId="649" priority="2" stopIfTrue="1">
      <formula>ISERROR</formula>
    </cfRule>
  </conditionalFormatting>
  <conditionalFormatting sqref="C173:Y173">
    <cfRule type="cellIs" dxfId="648" priority="1" stopIfTrue="1" operator="equal">
      <formula>0</formula>
    </cfRule>
  </conditionalFormatting>
  <pageMargins left="0.7" right="0.7" top="0.75" bottom="0.75" header="0.3" footer="0.3"/>
  <pageSetup paperSize="9" scale="39" orientation="landscape" r:id="rId1"/>
  <colBreaks count="1" manualBreakCount="1">
    <brk id="13" max="171"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9DE27-E5C4-4346-AEEE-F69C0A14656D}">
  <sheetPr codeName="Sheet1"/>
  <dimension ref="A1:Z15"/>
  <sheetViews>
    <sheetView zoomScale="98" workbookViewId="0">
      <selection sqref="A1:Z15"/>
    </sheetView>
  </sheetViews>
  <sheetFormatPr defaultRowHeight="12" x14ac:dyDescent="0.15"/>
  <cols>
    <col min="4" max="4" width="10.85546875" bestFit="1" customWidth="1"/>
    <col min="5" max="6" width="13.42578125" bestFit="1" customWidth="1"/>
    <col min="7" max="8" width="15" bestFit="1" customWidth="1"/>
    <col min="9" max="9" width="13.42578125" bestFit="1" customWidth="1"/>
    <col min="10" max="10" width="8.42578125" bestFit="1" customWidth="1"/>
    <col min="11" max="11" width="15.140625" bestFit="1" customWidth="1"/>
    <col min="12" max="12" width="24" bestFit="1" customWidth="1"/>
    <col min="13" max="13" width="12.5703125" bestFit="1" customWidth="1"/>
    <col min="14" max="14" width="15.140625" bestFit="1" customWidth="1"/>
    <col min="15" max="15" width="9.42578125" bestFit="1" customWidth="1"/>
    <col min="16" max="16" width="20" bestFit="1" customWidth="1"/>
    <col min="17" max="17" width="15.140625" bestFit="1" customWidth="1"/>
    <col min="18" max="18" width="17.42578125" bestFit="1" customWidth="1"/>
    <col min="19" max="23" width="27" bestFit="1" customWidth="1"/>
    <col min="24" max="24" width="24.85546875" bestFit="1" customWidth="1"/>
    <col min="25" max="25" width="24.42578125" customWidth="1"/>
  </cols>
  <sheetData>
    <row r="1" spans="1:26" ht="70.5" customHeight="1" x14ac:dyDescent="0.15">
      <c r="A1" s="277" t="s">
        <v>389</v>
      </c>
      <c r="B1" s="277" t="s">
        <v>390</v>
      </c>
      <c r="C1" s="277" t="s">
        <v>391</v>
      </c>
      <c r="D1" s="278" t="s">
        <v>392</v>
      </c>
      <c r="E1" s="278" t="s">
        <v>393</v>
      </c>
      <c r="F1" s="278" t="s">
        <v>394</v>
      </c>
      <c r="G1" s="279" t="s">
        <v>395</v>
      </c>
      <c r="H1" s="279" t="s">
        <v>396</v>
      </c>
      <c r="I1" s="280" t="s">
        <v>397</v>
      </c>
      <c r="J1" s="281" t="s">
        <v>398</v>
      </c>
      <c r="K1" s="282" t="s">
        <v>14</v>
      </c>
      <c r="L1" s="282" t="s">
        <v>399</v>
      </c>
      <c r="M1" s="282" t="s">
        <v>400</v>
      </c>
      <c r="N1" s="282" t="s">
        <v>401</v>
      </c>
      <c r="O1" s="283" t="s">
        <v>17</v>
      </c>
      <c r="P1" s="284" t="s">
        <v>18</v>
      </c>
      <c r="Q1" s="284" t="s">
        <v>19</v>
      </c>
      <c r="R1" s="284" t="s">
        <v>20</v>
      </c>
      <c r="S1" s="284" t="s">
        <v>402</v>
      </c>
      <c r="T1" s="284" t="s">
        <v>403</v>
      </c>
      <c r="U1" s="284" t="s">
        <v>404</v>
      </c>
      <c r="V1" s="284" t="s">
        <v>405</v>
      </c>
      <c r="W1" s="284" t="s">
        <v>406</v>
      </c>
      <c r="X1" s="284" t="s">
        <v>407</v>
      </c>
      <c r="Y1" s="284" t="s">
        <v>408</v>
      </c>
      <c r="Z1" s="315"/>
    </row>
    <row r="2" spans="1:26" ht="28.5" x14ac:dyDescent="0.15">
      <c r="A2" s="82">
        <v>301</v>
      </c>
      <c r="B2" s="82"/>
      <c r="C2" s="82"/>
      <c r="D2" s="82" t="s">
        <v>1053</v>
      </c>
      <c r="E2" s="83" t="s">
        <v>367</v>
      </c>
      <c r="F2" s="83" t="s">
        <v>1054</v>
      </c>
      <c r="G2" s="83">
        <v>46093</v>
      </c>
      <c r="H2" s="83">
        <v>46093</v>
      </c>
      <c r="I2" s="82">
        <v>14665</v>
      </c>
      <c r="J2" s="83">
        <v>46099</v>
      </c>
      <c r="K2" s="83" t="s">
        <v>199</v>
      </c>
      <c r="L2" s="83" t="s">
        <v>1055</v>
      </c>
      <c r="M2" s="82" t="s">
        <v>1056</v>
      </c>
      <c r="N2" s="83">
        <v>46093</v>
      </c>
      <c r="O2" s="83">
        <v>46093</v>
      </c>
      <c r="P2" s="82" t="s">
        <v>1057</v>
      </c>
      <c r="Q2" s="82">
        <v>1111</v>
      </c>
      <c r="R2" s="82">
        <v>111111</v>
      </c>
      <c r="S2" s="82" t="s">
        <v>273</v>
      </c>
      <c r="T2" s="84" t="s">
        <v>1058</v>
      </c>
      <c r="U2" s="82"/>
      <c r="V2" s="82"/>
      <c r="W2" s="82"/>
      <c r="X2" s="84"/>
      <c r="Y2" s="82"/>
      <c r="Z2" s="82"/>
    </row>
    <row r="3" spans="1:26" ht="14.25" x14ac:dyDescent="0.15">
      <c r="A3" s="82">
        <v>302</v>
      </c>
      <c r="B3" s="82"/>
      <c r="C3" s="82"/>
      <c r="D3" s="82" t="s">
        <v>1053</v>
      </c>
      <c r="E3" s="83" t="s">
        <v>367</v>
      </c>
      <c r="F3" s="83" t="s">
        <v>1054</v>
      </c>
      <c r="G3" s="83">
        <v>46093</v>
      </c>
      <c r="H3" s="83">
        <v>46093</v>
      </c>
      <c r="I3" s="82">
        <v>14665</v>
      </c>
      <c r="J3" s="83">
        <v>46099</v>
      </c>
      <c r="K3" s="83"/>
      <c r="L3" s="83"/>
      <c r="M3" s="82"/>
      <c r="N3" s="83">
        <v>46093</v>
      </c>
      <c r="O3" s="83">
        <v>46093</v>
      </c>
      <c r="P3" s="82"/>
      <c r="Q3" s="82"/>
      <c r="R3" s="82"/>
      <c r="S3" s="82"/>
      <c r="T3" s="82"/>
      <c r="U3" s="82"/>
      <c r="V3" s="82"/>
      <c r="W3" s="82"/>
      <c r="X3" s="84"/>
      <c r="Y3" s="82"/>
      <c r="Z3" s="82"/>
    </row>
    <row r="4" spans="1:26" ht="14.25" x14ac:dyDescent="0.15">
      <c r="A4" s="82">
        <v>303</v>
      </c>
      <c r="B4" s="82"/>
      <c r="C4" s="82"/>
      <c r="D4" s="82" t="s">
        <v>1053</v>
      </c>
      <c r="E4" s="82" t="s">
        <v>1059</v>
      </c>
      <c r="F4" s="82" t="s">
        <v>1060</v>
      </c>
      <c r="G4" s="83">
        <v>46091</v>
      </c>
      <c r="H4" s="83">
        <v>46098</v>
      </c>
      <c r="I4" s="82">
        <v>1357</v>
      </c>
      <c r="J4" s="83">
        <v>46099</v>
      </c>
      <c r="K4" s="82" t="s">
        <v>1060</v>
      </c>
      <c r="L4" s="82" t="s">
        <v>1060</v>
      </c>
      <c r="M4" s="82"/>
      <c r="N4" s="83">
        <v>46099</v>
      </c>
      <c r="O4" s="83">
        <v>46098</v>
      </c>
      <c r="P4" s="82" t="s">
        <v>1060</v>
      </c>
      <c r="Q4" s="82"/>
      <c r="R4" s="82" t="s">
        <v>1060</v>
      </c>
      <c r="S4" s="82" t="s">
        <v>1060</v>
      </c>
      <c r="T4" s="82" t="s">
        <v>1060</v>
      </c>
      <c r="U4" s="82" t="s">
        <v>416</v>
      </c>
      <c r="V4" s="82" t="s">
        <v>416</v>
      </c>
      <c r="W4" s="82" t="s">
        <v>416</v>
      </c>
      <c r="X4" s="84"/>
      <c r="Y4" s="82"/>
      <c r="Z4" s="82"/>
    </row>
    <row r="5" spans="1:26" ht="14.25" x14ac:dyDescent="0.15">
      <c r="A5" s="82">
        <v>304</v>
      </c>
      <c r="B5" s="82"/>
      <c r="C5" s="82"/>
      <c r="D5" s="82" t="s">
        <v>1053</v>
      </c>
      <c r="E5" s="82" t="s">
        <v>1059</v>
      </c>
      <c r="F5" s="82" t="s">
        <v>1060</v>
      </c>
      <c r="G5" s="83">
        <v>46105</v>
      </c>
      <c r="H5" s="83">
        <v>46105</v>
      </c>
      <c r="I5" s="82">
        <v>5500</v>
      </c>
      <c r="J5" s="83">
        <v>46105</v>
      </c>
      <c r="K5" s="82" t="s">
        <v>1061</v>
      </c>
      <c r="L5" s="82" t="s">
        <v>1062</v>
      </c>
      <c r="M5" s="82"/>
      <c r="N5" s="83">
        <v>46105</v>
      </c>
      <c r="O5" s="83">
        <v>46105</v>
      </c>
      <c r="P5" s="82"/>
      <c r="Q5" s="82"/>
      <c r="R5" s="82"/>
      <c r="S5" s="82"/>
      <c r="T5" s="82"/>
      <c r="U5" s="82"/>
      <c r="V5" s="82"/>
      <c r="W5" s="82"/>
      <c r="X5" s="84"/>
      <c r="Y5" s="84"/>
      <c r="Z5" s="82"/>
    </row>
    <row r="6" spans="1:26" ht="14.25" x14ac:dyDescent="0.15">
      <c r="A6" s="82">
        <v>305</v>
      </c>
      <c r="B6" s="82"/>
      <c r="C6" s="82"/>
      <c r="D6" s="82" t="s">
        <v>1053</v>
      </c>
      <c r="E6" s="82" t="s">
        <v>367</v>
      </c>
      <c r="F6" s="82" t="s">
        <v>1119</v>
      </c>
      <c r="G6" s="83">
        <v>46125</v>
      </c>
      <c r="H6" s="83">
        <v>46125</v>
      </c>
      <c r="I6" s="82">
        <v>1100000</v>
      </c>
      <c r="J6" s="83">
        <v>46157</v>
      </c>
      <c r="K6" s="82" t="s">
        <v>1131</v>
      </c>
      <c r="L6" s="82"/>
      <c r="M6" s="82" t="s">
        <v>384</v>
      </c>
      <c r="N6" s="83">
        <v>46157</v>
      </c>
      <c r="O6" s="83">
        <v>46125</v>
      </c>
      <c r="P6" s="82" t="s">
        <v>1132</v>
      </c>
      <c r="Q6" s="82" t="s">
        <v>233</v>
      </c>
      <c r="R6" s="82" t="s">
        <v>234</v>
      </c>
      <c r="S6" s="82"/>
      <c r="T6" s="82" t="s">
        <v>1119</v>
      </c>
      <c r="U6" s="82"/>
      <c r="V6" s="82"/>
      <c r="W6" s="82"/>
      <c r="X6" s="82"/>
      <c r="Y6" s="82"/>
      <c r="Z6" s="82" t="s">
        <v>1133</v>
      </c>
    </row>
    <row r="7" spans="1:26" ht="14.25" x14ac:dyDescent="0.15">
      <c r="A7" s="82">
        <v>306</v>
      </c>
      <c r="B7" s="82"/>
      <c r="C7" s="82"/>
      <c r="D7" s="82" t="s">
        <v>1053</v>
      </c>
      <c r="E7" s="82" t="s">
        <v>367</v>
      </c>
      <c r="F7" s="82" t="s">
        <v>1119</v>
      </c>
      <c r="G7" s="83">
        <v>46125</v>
      </c>
      <c r="H7" s="83">
        <v>46125</v>
      </c>
      <c r="I7" s="82">
        <v>1000000</v>
      </c>
      <c r="J7" s="83">
        <v>46160</v>
      </c>
      <c r="K7" s="82" t="s">
        <v>1131</v>
      </c>
      <c r="L7" s="82"/>
      <c r="M7" s="82" t="s">
        <v>384</v>
      </c>
      <c r="N7" s="83">
        <v>46157</v>
      </c>
      <c r="O7" s="83">
        <v>46125</v>
      </c>
      <c r="P7" s="82" t="s">
        <v>1132</v>
      </c>
      <c r="Q7" s="82" t="s">
        <v>233</v>
      </c>
      <c r="R7" s="82" t="s">
        <v>234</v>
      </c>
      <c r="S7" s="82"/>
      <c r="T7" s="82" t="s">
        <v>1119</v>
      </c>
      <c r="U7" s="82"/>
      <c r="V7" s="82"/>
      <c r="W7" s="82"/>
      <c r="X7" s="84"/>
      <c r="Y7" s="82"/>
      <c r="Z7" s="82" t="s">
        <v>1133</v>
      </c>
    </row>
    <row r="8" spans="1:26" ht="14.25" x14ac:dyDescent="0.15">
      <c r="A8" s="82">
        <v>307</v>
      </c>
      <c r="B8" s="82"/>
      <c r="C8" s="82"/>
      <c r="D8" s="82" t="s">
        <v>1053</v>
      </c>
      <c r="E8" s="82" t="s">
        <v>1059</v>
      </c>
      <c r="F8" s="82" t="s">
        <v>1124</v>
      </c>
      <c r="G8" s="83">
        <v>46113</v>
      </c>
      <c r="H8" s="83">
        <v>46143</v>
      </c>
      <c r="I8" s="82">
        <v>505150000</v>
      </c>
      <c r="J8" s="83">
        <v>46160</v>
      </c>
      <c r="K8" s="82" t="s">
        <v>1139</v>
      </c>
      <c r="L8" s="82"/>
      <c r="M8" s="82" t="s">
        <v>528</v>
      </c>
      <c r="N8" s="83">
        <v>46204</v>
      </c>
      <c r="O8" s="83">
        <v>46174</v>
      </c>
      <c r="P8" s="82" t="s">
        <v>1140</v>
      </c>
      <c r="Q8" s="82" t="s">
        <v>233</v>
      </c>
      <c r="R8" s="82" t="s">
        <v>234</v>
      </c>
      <c r="S8" s="82"/>
      <c r="T8" s="82"/>
      <c r="U8" s="82"/>
      <c r="V8" s="82"/>
      <c r="W8" s="82"/>
      <c r="X8" s="84"/>
      <c r="Y8" s="82"/>
      <c r="Z8" s="82" t="s">
        <v>1141</v>
      </c>
    </row>
    <row r="9" spans="1:26" ht="14.25" x14ac:dyDescent="0.15">
      <c r="A9" s="82">
        <v>308</v>
      </c>
      <c r="B9" s="82"/>
      <c r="C9" s="82"/>
      <c r="D9" s="82" t="s">
        <v>1053</v>
      </c>
      <c r="E9" s="82" t="s">
        <v>1059</v>
      </c>
      <c r="F9" s="82" t="s">
        <v>1124</v>
      </c>
      <c r="G9" s="83">
        <v>46113</v>
      </c>
      <c r="H9" s="83">
        <v>46143</v>
      </c>
      <c r="I9" s="82">
        <v>555665000</v>
      </c>
      <c r="J9" s="83">
        <v>46160</v>
      </c>
      <c r="K9" s="82" t="s">
        <v>1139</v>
      </c>
      <c r="L9" s="82"/>
      <c r="M9" s="82" t="s">
        <v>528</v>
      </c>
      <c r="N9" s="83">
        <v>46204</v>
      </c>
      <c r="O9" s="83">
        <v>46174</v>
      </c>
      <c r="P9" s="82" t="s">
        <v>1140</v>
      </c>
      <c r="Q9" s="82" t="s">
        <v>233</v>
      </c>
      <c r="R9" s="82" t="s">
        <v>234</v>
      </c>
      <c r="S9" s="82"/>
      <c r="T9" s="82"/>
      <c r="U9" s="82"/>
      <c r="V9" s="82"/>
      <c r="W9" s="82"/>
      <c r="X9" s="84"/>
      <c r="Y9" s="82"/>
      <c r="Z9" s="82" t="s">
        <v>1141</v>
      </c>
    </row>
    <row r="10" spans="1:26" ht="14.25" x14ac:dyDescent="0.15">
      <c r="A10" s="82">
        <v>309</v>
      </c>
      <c r="B10" s="82"/>
      <c r="C10" s="82"/>
      <c r="D10" s="82" t="s">
        <v>1053</v>
      </c>
      <c r="E10" s="82" t="s">
        <v>1059</v>
      </c>
      <c r="F10" s="82" t="s">
        <v>1142</v>
      </c>
      <c r="G10" s="83">
        <v>46113</v>
      </c>
      <c r="H10" s="83">
        <v>46143</v>
      </c>
      <c r="I10" s="82">
        <v>555665000</v>
      </c>
      <c r="J10" s="83">
        <v>46160</v>
      </c>
      <c r="K10" s="82" t="s">
        <v>1139</v>
      </c>
      <c r="L10" s="82"/>
      <c r="M10" s="82" t="s">
        <v>528</v>
      </c>
      <c r="N10" s="83">
        <v>46204</v>
      </c>
      <c r="O10" s="83">
        <v>46174</v>
      </c>
      <c r="P10" s="82" t="s">
        <v>1140</v>
      </c>
      <c r="Q10" s="82" t="s">
        <v>233</v>
      </c>
      <c r="R10" s="82" t="s">
        <v>234</v>
      </c>
      <c r="S10" s="82"/>
      <c r="T10" s="82" t="s">
        <v>1138</v>
      </c>
      <c r="U10" s="82"/>
      <c r="V10" s="82"/>
      <c r="W10" s="82"/>
      <c r="X10" s="84"/>
      <c r="Y10" s="82"/>
      <c r="Z10" s="82" t="s">
        <v>1141</v>
      </c>
    </row>
    <row r="11" spans="1:26" ht="14.25" x14ac:dyDescent="0.15">
      <c r="A11" s="82">
        <v>310</v>
      </c>
      <c r="B11" s="82"/>
      <c r="C11" s="82"/>
      <c r="D11" s="82" t="s">
        <v>1053</v>
      </c>
      <c r="E11" s="82" t="s">
        <v>367</v>
      </c>
      <c r="F11" s="82" t="s">
        <v>1119</v>
      </c>
      <c r="G11" s="83">
        <v>46125</v>
      </c>
      <c r="H11" s="83">
        <v>46125</v>
      </c>
      <c r="I11" s="82">
        <v>15000000</v>
      </c>
      <c r="J11" s="83">
        <v>46160</v>
      </c>
      <c r="K11" s="82" t="s">
        <v>1131</v>
      </c>
      <c r="L11" s="82"/>
      <c r="M11" s="82" t="s">
        <v>384</v>
      </c>
      <c r="N11" s="83">
        <v>46157</v>
      </c>
      <c r="O11" s="83">
        <v>46125</v>
      </c>
      <c r="P11" s="82" t="s">
        <v>1132</v>
      </c>
      <c r="Q11" s="82" t="s">
        <v>233</v>
      </c>
      <c r="R11" s="82" t="s">
        <v>234</v>
      </c>
      <c r="S11" s="82"/>
      <c r="T11" s="82" t="s">
        <v>1119</v>
      </c>
      <c r="U11" s="82"/>
      <c r="V11" s="82"/>
      <c r="W11" s="82"/>
      <c r="X11" s="84"/>
      <c r="Y11" s="82"/>
      <c r="Z11" s="82" t="s">
        <v>1143</v>
      </c>
    </row>
    <row r="12" spans="1:26" ht="14.25" x14ac:dyDescent="0.15">
      <c r="A12" s="82">
        <v>311</v>
      </c>
      <c r="B12" s="82"/>
      <c r="C12" s="82"/>
      <c r="D12" s="82" t="s">
        <v>1053</v>
      </c>
      <c r="E12" s="82" t="s">
        <v>367</v>
      </c>
      <c r="F12" s="82" t="s">
        <v>1119</v>
      </c>
      <c r="G12" s="83">
        <v>46125</v>
      </c>
      <c r="H12" s="83">
        <v>46125</v>
      </c>
      <c r="I12" s="82">
        <v>16500000</v>
      </c>
      <c r="J12" s="83">
        <v>46160</v>
      </c>
      <c r="K12" s="82" t="s">
        <v>1131</v>
      </c>
      <c r="L12" s="82"/>
      <c r="M12" s="82" t="s">
        <v>384</v>
      </c>
      <c r="N12" s="83">
        <v>46157</v>
      </c>
      <c r="O12" s="83">
        <v>46125</v>
      </c>
      <c r="P12" s="82" t="s">
        <v>1132</v>
      </c>
      <c r="Q12" s="82" t="s">
        <v>233</v>
      </c>
      <c r="R12" s="82" t="s">
        <v>234</v>
      </c>
      <c r="S12" s="82"/>
      <c r="T12" s="82" t="s">
        <v>1119</v>
      </c>
      <c r="U12" s="82"/>
      <c r="V12" s="82"/>
      <c r="W12" s="82"/>
      <c r="X12" s="84"/>
      <c r="Y12" s="82"/>
      <c r="Z12" s="82" t="s">
        <v>1143</v>
      </c>
    </row>
    <row r="13" spans="1:26" ht="14.25" x14ac:dyDescent="0.15">
      <c r="A13" s="82">
        <v>312</v>
      </c>
      <c r="B13" s="82"/>
      <c r="C13" s="82"/>
      <c r="D13" s="82" t="s">
        <v>1053</v>
      </c>
      <c r="E13" s="82" t="s">
        <v>367</v>
      </c>
      <c r="F13" s="82" t="s">
        <v>1119</v>
      </c>
      <c r="G13" s="83">
        <v>46125</v>
      </c>
      <c r="H13" s="83">
        <v>46125</v>
      </c>
      <c r="I13" s="82">
        <v>16500000</v>
      </c>
      <c r="J13" s="83">
        <v>46160</v>
      </c>
      <c r="K13" s="82" t="s">
        <v>1131</v>
      </c>
      <c r="L13" s="82"/>
      <c r="M13" s="82" t="s">
        <v>384</v>
      </c>
      <c r="N13" s="83">
        <v>46157</v>
      </c>
      <c r="O13" s="83">
        <v>46125</v>
      </c>
      <c r="P13" s="82" t="s">
        <v>1132</v>
      </c>
      <c r="Q13" s="82" t="s">
        <v>233</v>
      </c>
      <c r="R13" s="82" t="s">
        <v>234</v>
      </c>
      <c r="S13" s="82"/>
      <c r="T13" s="82" t="s">
        <v>1119</v>
      </c>
      <c r="U13" s="82"/>
      <c r="V13" s="82"/>
      <c r="W13" s="82"/>
      <c r="X13" s="84"/>
      <c r="Y13" s="82"/>
      <c r="Z13" s="82" t="s">
        <v>1143</v>
      </c>
    </row>
    <row r="14" spans="1:26" ht="14.25" x14ac:dyDescent="0.15">
      <c r="A14" s="82"/>
      <c r="B14" s="82"/>
      <c r="C14" s="82"/>
      <c r="D14" s="82"/>
      <c r="E14" s="82"/>
      <c r="F14" s="82"/>
      <c r="G14" s="83"/>
      <c r="H14" s="83"/>
      <c r="I14" s="82"/>
      <c r="J14" s="83"/>
      <c r="K14" s="82"/>
      <c r="L14" s="82"/>
      <c r="M14" s="82"/>
      <c r="N14" s="83"/>
      <c r="O14" s="83"/>
      <c r="P14" s="82"/>
      <c r="Q14" s="82"/>
      <c r="R14" s="82"/>
      <c r="S14" s="82"/>
      <c r="T14" s="82"/>
      <c r="U14" s="82"/>
      <c r="V14" s="82"/>
      <c r="W14" s="82"/>
      <c r="X14" s="84"/>
      <c r="Y14" s="82"/>
      <c r="Z14" s="82"/>
    </row>
    <row r="15" spans="1:26" ht="14.25" x14ac:dyDescent="0.15">
      <c r="A15" s="82"/>
      <c r="B15" s="82"/>
      <c r="C15" s="82"/>
      <c r="D15" s="82"/>
      <c r="E15" s="82"/>
      <c r="F15" s="82"/>
      <c r="G15" s="83"/>
      <c r="H15" s="83"/>
      <c r="I15" s="82"/>
      <c r="J15" s="83"/>
      <c r="K15" s="82"/>
      <c r="L15" s="82"/>
      <c r="M15" s="82"/>
      <c r="N15" s="83"/>
      <c r="O15" s="83"/>
      <c r="P15" s="82"/>
      <c r="Q15" s="82"/>
      <c r="R15" s="82"/>
      <c r="S15" s="82"/>
      <c r="T15" s="82"/>
      <c r="U15" s="82"/>
      <c r="V15" s="82"/>
      <c r="W15" s="82"/>
      <c r="X15" s="82"/>
      <c r="Y15" s="82"/>
      <c r="Z15" s="82"/>
    </row>
  </sheetData>
  <sheetProtection sort="0" autoFilter="0"/>
  <phoneticPr fontId="3"/>
  <conditionalFormatting sqref="J1:Y1">
    <cfRule type="cellIs" dxfId="1223" priority="1" stopIfTrue="1" operator="equal">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AE282-3A9D-45BA-82C2-42A00E56D109}">
  <sheetPr codeName="Sheet13">
    <tabColor rgb="FFFFFF00"/>
  </sheetPr>
  <dimension ref="A1:C55"/>
  <sheetViews>
    <sheetView tabSelected="1" view="pageBreakPreview" zoomScaleNormal="100" zoomScaleSheetLayoutView="100" workbookViewId="0">
      <selection activeCell="B33" sqref="B33"/>
    </sheetView>
  </sheetViews>
  <sheetFormatPr defaultRowHeight="12" x14ac:dyDescent="0.15"/>
  <cols>
    <col min="1" max="1" width="24" customWidth="1"/>
    <col min="2" max="2" width="14" customWidth="1"/>
    <col min="3" max="3" width="60" customWidth="1"/>
  </cols>
  <sheetData>
    <row r="1" spans="1:3" ht="28.15" customHeight="1" x14ac:dyDescent="0.4">
      <c r="A1" s="323" t="s">
        <v>526</v>
      </c>
      <c r="B1" s="320"/>
      <c r="C1" s="320"/>
    </row>
    <row r="2" spans="1:3" ht="22.15" customHeight="1" x14ac:dyDescent="0.4">
      <c r="A2" s="324" t="s">
        <v>527</v>
      </c>
      <c r="B2" s="320"/>
      <c r="C2" s="320"/>
    </row>
    <row r="3" spans="1:3" ht="7.9" customHeight="1" x14ac:dyDescent="0.4">
      <c r="A3" s="49"/>
      <c r="B3" s="49"/>
      <c r="C3" s="49"/>
    </row>
    <row r="4" spans="1:3" ht="22.15" customHeight="1" x14ac:dyDescent="0.4">
      <c r="A4" s="325" t="s">
        <v>417</v>
      </c>
      <c r="B4" s="320"/>
      <c r="C4" s="320"/>
    </row>
    <row r="5" spans="1:3" ht="18" customHeight="1" x14ac:dyDescent="0.15">
      <c r="A5" s="22" t="s">
        <v>418</v>
      </c>
      <c r="B5" s="22" t="s">
        <v>419</v>
      </c>
      <c r="C5" s="22" t="s">
        <v>420</v>
      </c>
    </row>
    <row r="6" spans="1:3" ht="18" customHeight="1" x14ac:dyDescent="0.15">
      <c r="A6" s="22" t="s">
        <v>418</v>
      </c>
      <c r="B6" s="22" t="s">
        <v>421</v>
      </c>
      <c r="C6" s="22" t="s">
        <v>422</v>
      </c>
    </row>
    <row r="7" spans="1:3" ht="18" customHeight="1" x14ac:dyDescent="0.15">
      <c r="A7" s="22" t="s">
        <v>418</v>
      </c>
      <c r="B7" s="22" t="s">
        <v>148</v>
      </c>
      <c r="C7" s="22" t="s">
        <v>423</v>
      </c>
    </row>
    <row r="8" spans="1:3" ht="7.9" customHeight="1" x14ac:dyDescent="0.4">
      <c r="A8" s="49"/>
      <c r="B8" s="49"/>
      <c r="C8" s="49"/>
    </row>
    <row r="9" spans="1:3" ht="22.15" customHeight="1" x14ac:dyDescent="0.15">
      <c r="A9" s="50" t="s">
        <v>424</v>
      </c>
      <c r="B9" s="50" t="s">
        <v>425</v>
      </c>
      <c r="C9" s="50" t="s">
        <v>426</v>
      </c>
    </row>
    <row r="10" spans="1:3" ht="22.15" customHeight="1" x14ac:dyDescent="0.15">
      <c r="A10" s="51" t="s">
        <v>427</v>
      </c>
      <c r="B10" s="51"/>
      <c r="C10" s="51" t="s">
        <v>428</v>
      </c>
    </row>
    <row r="11" spans="1:3" ht="24" customHeight="1" x14ac:dyDescent="0.15">
      <c r="A11" s="24" t="s">
        <v>429</v>
      </c>
      <c r="B11" s="25" t="s">
        <v>1144</v>
      </c>
      <c r="C11" s="26" t="s">
        <v>431</v>
      </c>
    </row>
    <row r="12" spans="1:3" ht="24" customHeight="1" x14ac:dyDescent="0.15">
      <c r="A12" s="24" t="s">
        <v>432</v>
      </c>
      <c r="B12" s="25" t="s">
        <v>1134</v>
      </c>
      <c r="C12" s="26" t="s">
        <v>433</v>
      </c>
    </row>
    <row r="13" spans="1:3" ht="24" customHeight="1" x14ac:dyDescent="0.15">
      <c r="A13" s="24" t="s">
        <v>434</v>
      </c>
      <c r="B13" s="25" t="s">
        <v>435</v>
      </c>
      <c r="C13" s="26" t="s">
        <v>436</v>
      </c>
    </row>
    <row r="14" spans="1:3" ht="24" customHeight="1" x14ac:dyDescent="0.15">
      <c r="A14" s="24" t="s">
        <v>437</v>
      </c>
      <c r="B14" s="25" t="s">
        <v>1105</v>
      </c>
      <c r="C14" s="26" t="s">
        <v>438</v>
      </c>
    </row>
    <row r="15" spans="1:3" ht="24" customHeight="1" x14ac:dyDescent="0.15">
      <c r="A15" s="24" t="s">
        <v>439</v>
      </c>
      <c r="B15" s="25" t="s">
        <v>1145</v>
      </c>
      <c r="C15" s="26" t="s">
        <v>440</v>
      </c>
    </row>
    <row r="16" spans="1:3" ht="24" customHeight="1" x14ac:dyDescent="0.15">
      <c r="A16" s="24" t="s">
        <v>441</v>
      </c>
      <c r="B16" s="25" t="s">
        <v>1146</v>
      </c>
      <c r="C16" s="26"/>
    </row>
    <row r="17" spans="1:3" ht="24" customHeight="1" x14ac:dyDescent="0.15">
      <c r="A17" s="24" t="s">
        <v>443</v>
      </c>
      <c r="B17" s="25" t="s">
        <v>1147</v>
      </c>
      <c r="C17" s="26" t="s">
        <v>445</v>
      </c>
    </row>
    <row r="18" spans="1:3" ht="24" customHeight="1" x14ac:dyDescent="0.15">
      <c r="A18" s="24" t="s">
        <v>446</v>
      </c>
      <c r="B18" s="25" t="s">
        <v>1149</v>
      </c>
      <c r="C18" s="26" t="s">
        <v>448</v>
      </c>
    </row>
    <row r="19" spans="1:3" ht="24" customHeight="1" x14ac:dyDescent="0.15">
      <c r="A19" s="24" t="s">
        <v>449</v>
      </c>
      <c r="B19" s="25" t="s">
        <v>1148</v>
      </c>
      <c r="C19" s="26" t="s">
        <v>451</v>
      </c>
    </row>
    <row r="20" spans="1:3" ht="22.15" customHeight="1" x14ac:dyDescent="0.15">
      <c r="A20" s="51" t="s">
        <v>452</v>
      </c>
      <c r="B20" s="51"/>
      <c r="C20" s="51" t="s">
        <v>453</v>
      </c>
    </row>
    <row r="21" spans="1:3" ht="24" customHeight="1" x14ac:dyDescent="0.15">
      <c r="A21" s="24" t="s">
        <v>454</v>
      </c>
      <c r="B21" s="25" t="s">
        <v>1150</v>
      </c>
      <c r="C21" s="26" t="s">
        <v>456</v>
      </c>
    </row>
    <row r="22" spans="1:3" ht="24" customHeight="1" x14ac:dyDescent="0.15">
      <c r="A22" s="24" t="s">
        <v>457</v>
      </c>
      <c r="B22" s="25" t="s">
        <v>1151</v>
      </c>
      <c r="C22" s="26" t="s">
        <v>459</v>
      </c>
    </row>
    <row r="23" spans="1:3" ht="24" customHeight="1" x14ac:dyDescent="0.15">
      <c r="A23" s="24" t="s">
        <v>460</v>
      </c>
      <c r="B23" s="25" t="s">
        <v>1152</v>
      </c>
      <c r="C23" s="26" t="s">
        <v>462</v>
      </c>
    </row>
    <row r="24" spans="1:3" ht="24" customHeight="1" x14ac:dyDescent="0.15">
      <c r="A24" s="24" t="s">
        <v>463</v>
      </c>
      <c r="B24" s="25" t="s">
        <v>1153</v>
      </c>
      <c r="C24" s="26" t="s">
        <v>465</v>
      </c>
    </row>
    <row r="25" spans="1:3" ht="22.15" customHeight="1" x14ac:dyDescent="0.15">
      <c r="A25" s="51" t="s">
        <v>466</v>
      </c>
      <c r="B25" s="51"/>
      <c r="C25" s="51" t="s">
        <v>467</v>
      </c>
    </row>
    <row r="26" spans="1:3" ht="24" customHeight="1" x14ac:dyDescent="0.15">
      <c r="A26" s="24" t="s">
        <v>468</v>
      </c>
      <c r="B26" s="25">
        <v>20</v>
      </c>
      <c r="C26" s="26" t="s">
        <v>469</v>
      </c>
    </row>
    <row r="27" spans="1:3" ht="24" customHeight="1" x14ac:dyDescent="0.15">
      <c r="A27" s="24" t="s">
        <v>470</v>
      </c>
      <c r="B27" s="25" t="s">
        <v>421</v>
      </c>
      <c r="C27" s="26" t="s">
        <v>471</v>
      </c>
    </row>
    <row r="28" spans="1:3" ht="24" customHeight="1" x14ac:dyDescent="0.15">
      <c r="A28" s="24" t="s">
        <v>472</v>
      </c>
      <c r="B28" s="25" t="s">
        <v>1106</v>
      </c>
      <c r="C28" s="26" t="s">
        <v>474</v>
      </c>
    </row>
    <row r="29" spans="1:3" ht="24" customHeight="1" x14ac:dyDescent="0.15">
      <c r="A29" s="24" t="s">
        <v>475</v>
      </c>
      <c r="B29" s="25" t="s">
        <v>476</v>
      </c>
      <c r="C29" s="26" t="s">
        <v>474</v>
      </c>
    </row>
    <row r="30" spans="1:3" ht="24" customHeight="1" x14ac:dyDescent="0.15">
      <c r="A30" s="24" t="s">
        <v>477</v>
      </c>
      <c r="B30" s="25" t="s">
        <v>1107</v>
      </c>
      <c r="C30" s="26" t="s">
        <v>474</v>
      </c>
    </row>
    <row r="31" spans="1:3" ht="24" customHeight="1" x14ac:dyDescent="0.15">
      <c r="A31" s="24" t="s">
        <v>479</v>
      </c>
      <c r="B31" s="25" t="s">
        <v>1108</v>
      </c>
      <c r="C31" s="26" t="s">
        <v>474</v>
      </c>
    </row>
    <row r="32" spans="1:3" ht="22.15" customHeight="1" x14ac:dyDescent="0.15">
      <c r="A32" s="51" t="s">
        <v>481</v>
      </c>
      <c r="B32" s="51"/>
      <c r="C32" s="51" t="s">
        <v>482</v>
      </c>
    </row>
    <row r="33" spans="1:3" ht="24" customHeight="1" x14ac:dyDescent="0.15">
      <c r="A33" s="24" t="s">
        <v>483</v>
      </c>
      <c r="B33" s="25" t="s">
        <v>1108</v>
      </c>
      <c r="C33" s="26" t="s">
        <v>484</v>
      </c>
    </row>
    <row r="34" spans="1:3" ht="24" customHeight="1" x14ac:dyDescent="0.15">
      <c r="A34" s="24" t="s">
        <v>485</v>
      </c>
      <c r="B34" s="25" t="s">
        <v>1108</v>
      </c>
      <c r="C34" s="26" t="s">
        <v>486</v>
      </c>
    </row>
    <row r="35" spans="1:3" ht="22.15" customHeight="1" x14ac:dyDescent="0.15">
      <c r="A35" s="51" t="s">
        <v>487</v>
      </c>
      <c r="B35" s="51"/>
      <c r="C35" s="51" t="s">
        <v>488</v>
      </c>
    </row>
    <row r="36" spans="1:3" ht="24" customHeight="1" x14ac:dyDescent="0.15">
      <c r="A36" s="24" t="s">
        <v>489</v>
      </c>
      <c r="B36" s="25" t="s">
        <v>1109</v>
      </c>
      <c r="C36" s="26" t="s">
        <v>491</v>
      </c>
    </row>
    <row r="37" spans="1:3" ht="24" customHeight="1" x14ac:dyDescent="0.15">
      <c r="A37" s="24" t="s">
        <v>492</v>
      </c>
      <c r="B37" s="25" t="s">
        <v>1110</v>
      </c>
      <c r="C37" s="26" t="s">
        <v>494</v>
      </c>
    </row>
    <row r="38" spans="1:3" ht="24" customHeight="1" x14ac:dyDescent="0.15">
      <c r="A38" s="24" t="s">
        <v>495</v>
      </c>
      <c r="B38" s="25" t="s">
        <v>1110</v>
      </c>
      <c r="C38" s="26" t="s">
        <v>497</v>
      </c>
    </row>
    <row r="39" spans="1:3" ht="24" customHeight="1" x14ac:dyDescent="0.15">
      <c r="A39" s="24" t="s">
        <v>498</v>
      </c>
      <c r="B39" s="25" t="s">
        <v>1110</v>
      </c>
      <c r="C39" s="26" t="s">
        <v>500</v>
      </c>
    </row>
    <row r="40" spans="1:3" ht="24" customHeight="1" x14ac:dyDescent="0.15">
      <c r="A40" s="24" t="s">
        <v>501</v>
      </c>
      <c r="B40" s="25" t="s">
        <v>1111</v>
      </c>
      <c r="C40" s="26" t="s">
        <v>503</v>
      </c>
    </row>
    <row r="41" spans="1:3" ht="24" customHeight="1" x14ac:dyDescent="0.4">
      <c r="A41" s="49"/>
      <c r="B41" s="49"/>
      <c r="C41" s="49"/>
    </row>
    <row r="42" spans="1:3" ht="22.5" customHeight="1" x14ac:dyDescent="0.4">
      <c r="A42" s="326" t="s">
        <v>504</v>
      </c>
      <c r="B42" s="320"/>
      <c r="C42" s="320"/>
    </row>
    <row r="43" spans="1:3" ht="25.9" customHeight="1" x14ac:dyDescent="0.4">
      <c r="A43" s="52" t="s">
        <v>505</v>
      </c>
      <c r="B43" s="321" t="s">
        <v>506</v>
      </c>
      <c r="C43" s="320"/>
    </row>
    <row r="44" spans="1:3" ht="31.9" customHeight="1" x14ac:dyDescent="0.4">
      <c r="A44" s="52" t="s">
        <v>507</v>
      </c>
      <c r="B44" s="321" t="s">
        <v>508</v>
      </c>
      <c r="C44" s="320"/>
    </row>
    <row r="45" spans="1:3" ht="31.9" customHeight="1" x14ac:dyDescent="0.4">
      <c r="A45" s="52" t="s">
        <v>509</v>
      </c>
      <c r="B45" s="321" t="s">
        <v>510</v>
      </c>
      <c r="C45" s="320"/>
    </row>
    <row r="46" spans="1:3" ht="31.9" customHeight="1" x14ac:dyDescent="0.4">
      <c r="A46" s="52" t="s">
        <v>511</v>
      </c>
      <c r="B46" s="321" t="s">
        <v>512</v>
      </c>
      <c r="C46" s="320"/>
    </row>
    <row r="47" spans="1:3" ht="31.9" customHeight="1" x14ac:dyDescent="0.4">
      <c r="A47" s="52" t="s">
        <v>513</v>
      </c>
      <c r="B47" s="321" t="s">
        <v>514</v>
      </c>
      <c r="C47" s="320"/>
    </row>
    <row r="48" spans="1:3" ht="31.9" customHeight="1" x14ac:dyDescent="0.4">
      <c r="A48" s="52" t="s">
        <v>515</v>
      </c>
      <c r="B48" s="321" t="s">
        <v>516</v>
      </c>
      <c r="C48" s="320"/>
    </row>
    <row r="49" spans="1:3" ht="31.9" customHeight="1" x14ac:dyDescent="0.4">
      <c r="A49" s="49"/>
      <c r="B49" s="49"/>
      <c r="C49" s="49"/>
    </row>
    <row r="50" spans="1:3" ht="25.5" customHeight="1" x14ac:dyDescent="0.4">
      <c r="A50" s="322" t="s">
        <v>517</v>
      </c>
      <c r="B50" s="320"/>
      <c r="C50" s="320"/>
    </row>
    <row r="51" spans="1:3" ht="24" customHeight="1" x14ac:dyDescent="0.4">
      <c r="A51" s="27" t="s">
        <v>518</v>
      </c>
      <c r="B51" s="319" t="s">
        <v>519</v>
      </c>
      <c r="C51" s="320"/>
    </row>
    <row r="52" spans="1:3" ht="30" customHeight="1" x14ac:dyDescent="0.4">
      <c r="A52" s="27" t="s">
        <v>520</v>
      </c>
      <c r="B52" s="319" t="s">
        <v>521</v>
      </c>
      <c r="C52" s="320"/>
    </row>
    <row r="53" spans="1:3" ht="30" customHeight="1" x14ac:dyDescent="0.4">
      <c r="A53" s="27" t="s">
        <v>522</v>
      </c>
      <c r="B53" s="319" t="s">
        <v>523</v>
      </c>
      <c r="C53" s="320"/>
    </row>
    <row r="54" spans="1:3" ht="30" customHeight="1" x14ac:dyDescent="0.4">
      <c r="A54" s="27" t="s">
        <v>524</v>
      </c>
      <c r="B54" s="319" t="s">
        <v>525</v>
      </c>
      <c r="C54" s="320"/>
    </row>
    <row r="55" spans="1:3" ht="30" customHeight="1" x14ac:dyDescent="0.15"/>
  </sheetData>
  <mergeCells count="15">
    <mergeCell ref="B44:C44"/>
    <mergeCell ref="A1:C1"/>
    <mergeCell ref="A2:C2"/>
    <mergeCell ref="A4:C4"/>
    <mergeCell ref="A42:C42"/>
    <mergeCell ref="B43:C43"/>
    <mergeCell ref="B52:C52"/>
    <mergeCell ref="B53:C53"/>
    <mergeCell ref="B54:C54"/>
    <mergeCell ref="B45:C45"/>
    <mergeCell ref="B46:C46"/>
    <mergeCell ref="B47:C47"/>
    <mergeCell ref="B48:C48"/>
    <mergeCell ref="A50:C50"/>
    <mergeCell ref="B51:C51"/>
  </mergeCells>
  <phoneticPr fontId="3"/>
  <pageMargins left="0.75" right="0.75" top="1" bottom="1" header="0.5" footer="0.5"/>
  <pageSetup paperSize="9" scale="98"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1FBB6-29B2-4E4B-9393-4F3412E7A034}">
  <sheetPr codeName="Sheet7"/>
  <dimension ref="A1:C55"/>
  <sheetViews>
    <sheetView view="pageBreakPreview" topLeftCell="A21" zoomScaleNormal="100" zoomScaleSheetLayoutView="100" workbookViewId="0">
      <selection activeCell="B15" sqref="B15"/>
    </sheetView>
  </sheetViews>
  <sheetFormatPr defaultRowHeight="12" x14ac:dyDescent="0.15"/>
  <cols>
    <col min="1" max="1" width="24" customWidth="1"/>
    <col min="2" max="2" width="14" customWidth="1"/>
    <col min="3" max="3" width="60" customWidth="1"/>
  </cols>
  <sheetData>
    <row r="1" spans="1:3" ht="28.15" customHeight="1" x14ac:dyDescent="0.4">
      <c r="A1" s="323" t="s">
        <v>526</v>
      </c>
      <c r="B1" s="320"/>
      <c r="C1" s="320"/>
    </row>
    <row r="2" spans="1:3" ht="22.15" customHeight="1" x14ac:dyDescent="0.4">
      <c r="A2" s="324" t="s">
        <v>527</v>
      </c>
      <c r="B2" s="320"/>
      <c r="C2" s="320"/>
    </row>
    <row r="3" spans="1:3" ht="7.9" customHeight="1" x14ac:dyDescent="0.4">
      <c r="A3" s="49"/>
      <c r="B3" s="49"/>
      <c r="C3" s="49"/>
    </row>
    <row r="4" spans="1:3" ht="22.15" customHeight="1" x14ac:dyDescent="0.4">
      <c r="A4" s="325" t="s">
        <v>417</v>
      </c>
      <c r="B4" s="320"/>
      <c r="C4" s="320"/>
    </row>
    <row r="5" spans="1:3" ht="18" customHeight="1" x14ac:dyDescent="0.15">
      <c r="A5" s="22" t="s">
        <v>418</v>
      </c>
      <c r="B5" s="22" t="s">
        <v>419</v>
      </c>
      <c r="C5" s="22" t="s">
        <v>420</v>
      </c>
    </row>
    <row r="6" spans="1:3" ht="18" customHeight="1" x14ac:dyDescent="0.15">
      <c r="A6" s="22" t="s">
        <v>418</v>
      </c>
      <c r="B6" s="22" t="s">
        <v>421</v>
      </c>
      <c r="C6" s="22" t="s">
        <v>422</v>
      </c>
    </row>
    <row r="7" spans="1:3" ht="18" customHeight="1" x14ac:dyDescent="0.15">
      <c r="A7" s="22" t="s">
        <v>418</v>
      </c>
      <c r="B7" s="22" t="s">
        <v>148</v>
      </c>
      <c r="C7" s="22" t="s">
        <v>423</v>
      </c>
    </row>
    <row r="8" spans="1:3" ht="7.9" customHeight="1" x14ac:dyDescent="0.4">
      <c r="A8" s="49"/>
      <c r="B8" s="49"/>
      <c r="C8" s="49"/>
    </row>
    <row r="9" spans="1:3" ht="22.15" customHeight="1" x14ac:dyDescent="0.15">
      <c r="A9" s="50" t="s">
        <v>424</v>
      </c>
      <c r="B9" s="50" t="s">
        <v>425</v>
      </c>
      <c r="C9" s="50" t="s">
        <v>426</v>
      </c>
    </row>
    <row r="10" spans="1:3" ht="22.15" customHeight="1" x14ac:dyDescent="0.15">
      <c r="A10" s="51" t="s">
        <v>427</v>
      </c>
      <c r="B10" s="51"/>
      <c r="C10" s="51" t="s">
        <v>428</v>
      </c>
    </row>
    <row r="11" spans="1:3" ht="24" customHeight="1" x14ac:dyDescent="0.15">
      <c r="A11" s="24" t="s">
        <v>429</v>
      </c>
      <c r="B11" s="25" t="s">
        <v>430</v>
      </c>
      <c r="C11" s="26" t="s">
        <v>431</v>
      </c>
    </row>
    <row r="12" spans="1:3" ht="24" customHeight="1" x14ac:dyDescent="0.15">
      <c r="A12" s="24" t="s">
        <v>432</v>
      </c>
      <c r="B12" s="25" t="s">
        <v>1134</v>
      </c>
      <c r="C12" s="26" t="s">
        <v>433</v>
      </c>
    </row>
    <row r="13" spans="1:3" ht="24" customHeight="1" x14ac:dyDescent="0.15">
      <c r="A13" s="24" t="s">
        <v>434</v>
      </c>
      <c r="B13" s="25" t="s">
        <v>435</v>
      </c>
      <c r="C13" s="26" t="s">
        <v>436</v>
      </c>
    </row>
    <row r="14" spans="1:3" ht="24" customHeight="1" x14ac:dyDescent="0.15">
      <c r="A14" s="24" t="s">
        <v>437</v>
      </c>
      <c r="B14" s="25" t="s">
        <v>1105</v>
      </c>
      <c r="C14" s="26" t="s">
        <v>438</v>
      </c>
    </row>
    <row r="15" spans="1:3" ht="24" customHeight="1" x14ac:dyDescent="0.15">
      <c r="A15" s="24" t="s">
        <v>439</v>
      </c>
      <c r="B15" s="25" t="s">
        <v>1135</v>
      </c>
      <c r="C15" s="26" t="s">
        <v>440</v>
      </c>
    </row>
    <row r="16" spans="1:3" ht="24" customHeight="1" x14ac:dyDescent="0.15">
      <c r="A16" s="24" t="s">
        <v>441</v>
      </c>
      <c r="B16" s="25" t="s">
        <v>442</v>
      </c>
      <c r="C16" s="26"/>
    </row>
    <row r="17" spans="1:3" ht="24" customHeight="1" x14ac:dyDescent="0.15">
      <c r="A17" s="24" t="s">
        <v>443</v>
      </c>
      <c r="B17" s="25" t="s">
        <v>444</v>
      </c>
      <c r="C17" s="26" t="s">
        <v>445</v>
      </c>
    </row>
    <row r="18" spans="1:3" ht="24" customHeight="1" x14ac:dyDescent="0.15">
      <c r="A18" s="24" t="s">
        <v>446</v>
      </c>
      <c r="B18" s="25" t="s">
        <v>447</v>
      </c>
      <c r="C18" s="26" t="s">
        <v>448</v>
      </c>
    </row>
    <row r="19" spans="1:3" ht="24" customHeight="1" x14ac:dyDescent="0.15">
      <c r="A19" s="24" t="s">
        <v>449</v>
      </c>
      <c r="B19" s="25" t="s">
        <v>450</v>
      </c>
      <c r="C19" s="26" t="s">
        <v>451</v>
      </c>
    </row>
    <row r="20" spans="1:3" ht="22.15" customHeight="1" x14ac:dyDescent="0.15">
      <c r="A20" s="51" t="s">
        <v>452</v>
      </c>
      <c r="B20" s="51"/>
      <c r="C20" s="51" t="s">
        <v>453</v>
      </c>
    </row>
    <row r="21" spans="1:3" ht="24" customHeight="1" x14ac:dyDescent="0.15">
      <c r="A21" s="24" t="s">
        <v>454</v>
      </c>
      <c r="B21" s="25" t="s">
        <v>455</v>
      </c>
      <c r="C21" s="26" t="s">
        <v>456</v>
      </c>
    </row>
    <row r="22" spans="1:3" ht="24" customHeight="1" x14ac:dyDescent="0.15">
      <c r="A22" s="24" t="s">
        <v>457</v>
      </c>
      <c r="B22" s="25" t="s">
        <v>458</v>
      </c>
      <c r="C22" s="26" t="s">
        <v>459</v>
      </c>
    </row>
    <row r="23" spans="1:3" ht="24" customHeight="1" x14ac:dyDescent="0.15">
      <c r="A23" s="24" t="s">
        <v>460</v>
      </c>
      <c r="B23" s="25" t="s">
        <v>461</v>
      </c>
      <c r="C23" s="26" t="s">
        <v>462</v>
      </c>
    </row>
    <row r="24" spans="1:3" ht="24" customHeight="1" x14ac:dyDescent="0.15">
      <c r="A24" s="24" t="s">
        <v>463</v>
      </c>
      <c r="B24" s="25" t="s">
        <v>464</v>
      </c>
      <c r="C24" s="26" t="s">
        <v>465</v>
      </c>
    </row>
    <row r="25" spans="1:3" ht="22.15" customHeight="1" x14ac:dyDescent="0.15">
      <c r="A25" s="51" t="s">
        <v>466</v>
      </c>
      <c r="B25" s="51"/>
      <c r="C25" s="51" t="s">
        <v>467</v>
      </c>
    </row>
    <row r="26" spans="1:3" ht="24" customHeight="1" x14ac:dyDescent="0.15">
      <c r="A26" s="24" t="s">
        <v>468</v>
      </c>
      <c r="B26" s="25" t="s">
        <v>148</v>
      </c>
      <c r="C26" s="26" t="s">
        <v>469</v>
      </c>
    </row>
    <row r="27" spans="1:3" ht="24" customHeight="1" x14ac:dyDescent="0.15">
      <c r="A27" s="24" t="s">
        <v>470</v>
      </c>
      <c r="B27" s="25" t="s">
        <v>421</v>
      </c>
      <c r="C27" s="26" t="s">
        <v>471</v>
      </c>
    </row>
    <row r="28" spans="1:3" ht="24" customHeight="1" x14ac:dyDescent="0.15">
      <c r="A28" s="24" t="s">
        <v>472</v>
      </c>
      <c r="B28" s="25" t="s">
        <v>473</v>
      </c>
      <c r="C28" s="26" t="s">
        <v>474</v>
      </c>
    </row>
    <row r="29" spans="1:3" ht="24" customHeight="1" x14ac:dyDescent="0.15">
      <c r="A29" s="24" t="s">
        <v>475</v>
      </c>
      <c r="B29" s="25" t="s">
        <v>476</v>
      </c>
      <c r="C29" s="26" t="s">
        <v>474</v>
      </c>
    </row>
    <row r="30" spans="1:3" ht="24" customHeight="1" x14ac:dyDescent="0.15">
      <c r="A30" s="24" t="s">
        <v>477</v>
      </c>
      <c r="B30" s="25" t="s">
        <v>478</v>
      </c>
      <c r="C30" s="26" t="s">
        <v>474</v>
      </c>
    </row>
    <row r="31" spans="1:3" ht="24" customHeight="1" x14ac:dyDescent="0.15">
      <c r="A31" s="24" t="s">
        <v>479</v>
      </c>
      <c r="B31" s="25" t="s">
        <v>480</v>
      </c>
      <c r="C31" s="26" t="s">
        <v>474</v>
      </c>
    </row>
    <row r="32" spans="1:3" ht="22.15" customHeight="1" x14ac:dyDescent="0.15">
      <c r="A32" s="51" t="s">
        <v>481</v>
      </c>
      <c r="B32" s="51"/>
      <c r="C32" s="51" t="s">
        <v>482</v>
      </c>
    </row>
    <row r="33" spans="1:3" ht="24" customHeight="1" x14ac:dyDescent="0.15">
      <c r="A33" s="24" t="s">
        <v>483</v>
      </c>
      <c r="B33" s="25" t="s">
        <v>480</v>
      </c>
      <c r="C33" s="26" t="s">
        <v>484</v>
      </c>
    </row>
    <row r="34" spans="1:3" ht="24" customHeight="1" x14ac:dyDescent="0.15">
      <c r="A34" s="24" t="s">
        <v>485</v>
      </c>
      <c r="B34" s="25" t="s">
        <v>480</v>
      </c>
      <c r="C34" s="26" t="s">
        <v>486</v>
      </c>
    </row>
    <row r="35" spans="1:3" ht="22.15" customHeight="1" x14ac:dyDescent="0.15">
      <c r="A35" s="51" t="s">
        <v>487</v>
      </c>
      <c r="B35" s="51"/>
      <c r="C35" s="51" t="s">
        <v>488</v>
      </c>
    </row>
    <row r="36" spans="1:3" ht="24" customHeight="1" x14ac:dyDescent="0.15">
      <c r="A36" s="24" t="s">
        <v>489</v>
      </c>
      <c r="B36" s="25" t="s">
        <v>490</v>
      </c>
      <c r="C36" s="26" t="s">
        <v>491</v>
      </c>
    </row>
    <row r="37" spans="1:3" ht="24" customHeight="1" x14ac:dyDescent="0.15">
      <c r="A37" s="24" t="s">
        <v>492</v>
      </c>
      <c r="B37" s="25" t="s">
        <v>493</v>
      </c>
      <c r="C37" s="26" t="s">
        <v>494</v>
      </c>
    </row>
    <row r="38" spans="1:3" ht="24" customHeight="1" x14ac:dyDescent="0.15">
      <c r="A38" s="24" t="s">
        <v>495</v>
      </c>
      <c r="B38" s="25" t="s">
        <v>496</v>
      </c>
      <c r="C38" s="26" t="s">
        <v>497</v>
      </c>
    </row>
    <row r="39" spans="1:3" ht="24" customHeight="1" x14ac:dyDescent="0.15">
      <c r="A39" s="24" t="s">
        <v>498</v>
      </c>
      <c r="B39" s="25" t="s">
        <v>499</v>
      </c>
      <c r="C39" s="26" t="s">
        <v>500</v>
      </c>
    </row>
    <row r="40" spans="1:3" ht="24" customHeight="1" x14ac:dyDescent="0.15">
      <c r="A40" s="24" t="s">
        <v>501</v>
      </c>
      <c r="B40" s="25" t="s">
        <v>502</v>
      </c>
      <c r="C40" s="26" t="s">
        <v>503</v>
      </c>
    </row>
    <row r="41" spans="1:3" ht="24" customHeight="1" x14ac:dyDescent="0.4">
      <c r="A41" s="49"/>
      <c r="B41" s="49"/>
      <c r="C41" s="49"/>
    </row>
    <row r="42" spans="1:3" ht="22.5" customHeight="1" x14ac:dyDescent="0.4">
      <c r="A42" s="326" t="s">
        <v>504</v>
      </c>
      <c r="B42" s="320"/>
      <c r="C42" s="320"/>
    </row>
    <row r="43" spans="1:3" ht="25.9" customHeight="1" x14ac:dyDescent="0.4">
      <c r="A43" s="52" t="s">
        <v>505</v>
      </c>
      <c r="B43" s="321" t="s">
        <v>506</v>
      </c>
      <c r="C43" s="320"/>
    </row>
    <row r="44" spans="1:3" ht="31.9" customHeight="1" x14ac:dyDescent="0.4">
      <c r="A44" s="52" t="s">
        <v>507</v>
      </c>
      <c r="B44" s="321" t="s">
        <v>508</v>
      </c>
      <c r="C44" s="320"/>
    </row>
    <row r="45" spans="1:3" ht="31.9" customHeight="1" x14ac:dyDescent="0.4">
      <c r="A45" s="52" t="s">
        <v>509</v>
      </c>
      <c r="B45" s="321" t="s">
        <v>510</v>
      </c>
      <c r="C45" s="320"/>
    </row>
    <row r="46" spans="1:3" ht="31.9" customHeight="1" x14ac:dyDescent="0.4">
      <c r="A46" s="52" t="s">
        <v>511</v>
      </c>
      <c r="B46" s="321" t="s">
        <v>512</v>
      </c>
      <c r="C46" s="320"/>
    </row>
    <row r="47" spans="1:3" ht="31.9" customHeight="1" x14ac:dyDescent="0.4">
      <c r="A47" s="52" t="s">
        <v>513</v>
      </c>
      <c r="B47" s="321" t="s">
        <v>514</v>
      </c>
      <c r="C47" s="320"/>
    </row>
    <row r="48" spans="1:3" ht="31.9" customHeight="1" x14ac:dyDescent="0.4">
      <c r="A48" s="52" t="s">
        <v>515</v>
      </c>
      <c r="B48" s="321" t="s">
        <v>516</v>
      </c>
      <c r="C48" s="320"/>
    </row>
    <row r="49" spans="1:3" ht="31.9" customHeight="1" x14ac:dyDescent="0.4">
      <c r="A49" s="49"/>
      <c r="B49" s="49"/>
      <c r="C49" s="49"/>
    </row>
    <row r="50" spans="1:3" ht="25.5" customHeight="1" x14ac:dyDescent="0.4">
      <c r="A50" s="322" t="s">
        <v>517</v>
      </c>
      <c r="B50" s="320"/>
      <c r="C50" s="320"/>
    </row>
    <row r="51" spans="1:3" ht="24" customHeight="1" x14ac:dyDescent="0.4">
      <c r="A51" s="27" t="s">
        <v>518</v>
      </c>
      <c r="B51" s="319" t="s">
        <v>519</v>
      </c>
      <c r="C51" s="320"/>
    </row>
    <row r="52" spans="1:3" ht="30" customHeight="1" x14ac:dyDescent="0.4">
      <c r="A52" s="27" t="s">
        <v>520</v>
      </c>
      <c r="B52" s="319" t="s">
        <v>521</v>
      </c>
      <c r="C52" s="320"/>
    </row>
    <row r="53" spans="1:3" ht="30" customHeight="1" x14ac:dyDescent="0.4">
      <c r="A53" s="27" t="s">
        <v>522</v>
      </c>
      <c r="B53" s="319" t="s">
        <v>523</v>
      </c>
      <c r="C53" s="320"/>
    </row>
    <row r="54" spans="1:3" ht="30" customHeight="1" x14ac:dyDescent="0.4">
      <c r="A54" s="27" t="s">
        <v>524</v>
      </c>
      <c r="B54" s="319" t="s">
        <v>525</v>
      </c>
      <c r="C54" s="320"/>
    </row>
    <row r="55" spans="1:3" ht="30" customHeight="1" x14ac:dyDescent="0.15"/>
  </sheetData>
  <mergeCells count="15">
    <mergeCell ref="B45:C45"/>
    <mergeCell ref="A1:C1"/>
    <mergeCell ref="A2:C2"/>
    <mergeCell ref="A4:C4"/>
    <mergeCell ref="B44:C44"/>
    <mergeCell ref="A42:C42"/>
    <mergeCell ref="B43:C43"/>
    <mergeCell ref="B53:C53"/>
    <mergeCell ref="B54:C54"/>
    <mergeCell ref="B46:C46"/>
    <mergeCell ref="B47:C47"/>
    <mergeCell ref="B48:C48"/>
    <mergeCell ref="B52:C52"/>
    <mergeCell ref="A50:C50"/>
    <mergeCell ref="B51:C51"/>
  </mergeCells>
  <phoneticPr fontId="3"/>
  <pageMargins left="0.75" right="0.75" top="1" bottom="1" header="0.5" footer="0.5"/>
  <pageSetup paperSize="9" scale="98"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D8582-6A96-480A-B973-85AF4CAE1FCE}">
  <sheetPr codeName="Sheet3"/>
  <dimension ref="A1:P63"/>
  <sheetViews>
    <sheetView view="pageBreakPreview" topLeftCell="B1" zoomScaleNormal="100" workbookViewId="0">
      <selection activeCell="J9" sqref="J9"/>
    </sheetView>
  </sheetViews>
  <sheetFormatPr defaultColWidth="9.140625" defaultRowHeight="19.5" customHeight="1" x14ac:dyDescent="0.15"/>
  <cols>
    <col min="1" max="1" width="6.85546875" customWidth="1"/>
    <col min="2" max="5" width="6.28515625" customWidth="1"/>
    <col min="6" max="6" width="31.42578125" customWidth="1"/>
    <col min="7" max="7" width="6.85546875" customWidth="1"/>
    <col min="8" max="11" width="6.28515625" customWidth="1"/>
    <col min="12" max="12" width="9.7109375" bestFit="1" customWidth="1"/>
    <col min="13" max="13" width="9.7109375" customWidth="1"/>
  </cols>
  <sheetData>
    <row r="1" spans="1:16" ht="76.5" customHeight="1" x14ac:dyDescent="0.15">
      <c r="A1" s="53"/>
      <c r="B1" s="53"/>
      <c r="C1" s="53"/>
      <c r="D1" s="53"/>
      <c r="E1" s="53"/>
      <c r="F1" s="54"/>
      <c r="G1" s="53"/>
      <c r="H1" s="53"/>
      <c r="I1" s="53"/>
      <c r="J1" s="53"/>
      <c r="K1" s="53"/>
      <c r="L1" s="55"/>
      <c r="M1" s="55"/>
      <c r="N1" s="55"/>
      <c r="O1" s="55"/>
      <c r="P1" s="55"/>
    </row>
    <row r="2" spans="1:16" ht="19.5" customHeight="1" x14ac:dyDescent="0.15">
      <c r="A2" s="327" t="s">
        <v>114</v>
      </c>
      <c r="B2" s="327"/>
      <c r="C2" s="327"/>
      <c r="D2" s="327"/>
      <c r="E2" s="327"/>
      <c r="F2" s="327"/>
      <c r="G2" s="327"/>
      <c r="H2" s="327"/>
      <c r="I2" s="327"/>
      <c r="J2" s="327"/>
      <c r="K2" s="327"/>
      <c r="L2" s="55"/>
      <c r="M2" s="55"/>
      <c r="N2" s="55"/>
      <c r="O2" s="55"/>
      <c r="P2" s="55"/>
    </row>
    <row r="3" spans="1:16" ht="19.5" customHeight="1" x14ac:dyDescent="0.15">
      <c r="A3" s="328" t="s">
        <v>115</v>
      </c>
      <c r="B3" s="328"/>
      <c r="C3" s="328"/>
      <c r="D3" s="328"/>
      <c r="E3" s="328"/>
      <c r="F3" s="56"/>
      <c r="G3" s="57"/>
      <c r="H3" s="328" t="s">
        <v>116</v>
      </c>
      <c r="I3" s="328"/>
      <c r="J3" s="328"/>
      <c r="K3" s="328"/>
      <c r="L3" s="55"/>
      <c r="M3" s="55"/>
      <c r="N3" s="55"/>
      <c r="O3" s="55"/>
      <c r="P3" s="55"/>
    </row>
    <row r="4" spans="1:16" ht="60" customHeight="1" x14ac:dyDescent="0.15">
      <c r="A4" s="58" t="s">
        <v>117</v>
      </c>
      <c r="B4" s="58" t="s">
        <v>118</v>
      </c>
      <c r="C4" s="58" t="s">
        <v>119</v>
      </c>
      <c r="D4" s="329" t="s">
        <v>120</v>
      </c>
      <c r="E4" s="330"/>
      <c r="F4" s="59" t="s">
        <v>121</v>
      </c>
      <c r="G4" s="58" t="s">
        <v>117</v>
      </c>
      <c r="H4" s="58" t="s">
        <v>118</v>
      </c>
      <c r="I4" s="58" t="s">
        <v>119</v>
      </c>
      <c r="J4" s="329" t="s">
        <v>120</v>
      </c>
      <c r="K4" s="330"/>
      <c r="L4" s="60"/>
      <c r="M4" s="60"/>
      <c r="N4" s="60"/>
      <c r="O4" s="60"/>
      <c r="P4" s="60"/>
    </row>
    <row r="5" spans="1:16" ht="22.5" customHeight="1" x14ac:dyDescent="0.15">
      <c r="A5" s="61" t="s">
        <v>122</v>
      </c>
      <c r="B5" s="62">
        <v>25</v>
      </c>
      <c r="C5" s="63" t="s">
        <v>123</v>
      </c>
      <c r="D5" s="63" t="s">
        <v>124</v>
      </c>
      <c r="E5" s="64" t="s">
        <v>125</v>
      </c>
      <c r="F5" s="65" t="s">
        <v>126</v>
      </c>
      <c r="G5" s="61" t="s">
        <v>122</v>
      </c>
      <c r="H5" s="62">
        <v>25</v>
      </c>
      <c r="I5" s="63" t="s">
        <v>123</v>
      </c>
      <c r="J5" s="63" t="s">
        <v>124</v>
      </c>
      <c r="K5" s="64" t="s">
        <v>125</v>
      </c>
      <c r="L5" s="66"/>
      <c r="M5" s="66"/>
      <c r="N5" s="67"/>
      <c r="O5" s="66"/>
      <c r="P5" s="68"/>
    </row>
    <row r="6" spans="1:16" ht="22.5" customHeight="1" x14ac:dyDescent="0.15">
      <c r="A6" s="61"/>
      <c r="B6" s="62">
        <v>25</v>
      </c>
      <c r="C6" s="63" t="s">
        <v>127</v>
      </c>
      <c r="D6" s="63" t="s">
        <v>124</v>
      </c>
      <c r="E6" s="64" t="s">
        <v>125</v>
      </c>
      <c r="F6" s="65" t="s">
        <v>126</v>
      </c>
      <c r="G6" s="61"/>
      <c r="H6" s="62">
        <v>25</v>
      </c>
      <c r="I6" s="63" t="s">
        <v>128</v>
      </c>
      <c r="J6" s="63" t="s">
        <v>129</v>
      </c>
      <c r="K6" s="64" t="s">
        <v>125</v>
      </c>
      <c r="L6" s="66"/>
      <c r="M6" s="66"/>
      <c r="N6" s="67"/>
      <c r="O6" s="66"/>
      <c r="P6" s="68"/>
    </row>
    <row r="7" spans="1:16" ht="22.5" customHeight="1" x14ac:dyDescent="0.15">
      <c r="A7" s="69" t="s">
        <v>130</v>
      </c>
      <c r="B7" s="70">
        <v>25</v>
      </c>
      <c r="C7" s="46" t="s">
        <v>131</v>
      </c>
      <c r="D7" s="46" t="s">
        <v>124</v>
      </c>
      <c r="E7" s="71" t="s">
        <v>125</v>
      </c>
      <c r="F7" s="59" t="s">
        <v>132</v>
      </c>
      <c r="G7" s="69" t="s">
        <v>130</v>
      </c>
      <c r="H7" s="70">
        <v>25</v>
      </c>
      <c r="I7" s="46" t="s">
        <v>131</v>
      </c>
      <c r="J7" s="46" t="s">
        <v>129</v>
      </c>
      <c r="K7" s="71" t="s">
        <v>125</v>
      </c>
      <c r="L7" s="55"/>
      <c r="M7" s="55"/>
      <c r="N7" s="53"/>
      <c r="O7" s="55"/>
      <c r="P7" s="72"/>
    </row>
    <row r="8" spans="1:16" ht="22.5" customHeight="1" x14ac:dyDescent="0.15">
      <c r="A8" s="61"/>
      <c r="B8" s="62">
        <v>25</v>
      </c>
      <c r="C8" s="63" t="s">
        <v>133</v>
      </c>
      <c r="D8" s="63" t="s">
        <v>124</v>
      </c>
      <c r="E8" s="64" t="s">
        <v>125</v>
      </c>
      <c r="F8" s="65" t="s">
        <v>126</v>
      </c>
      <c r="G8" s="61"/>
      <c r="H8" s="62">
        <v>25</v>
      </c>
      <c r="I8" s="63" t="s">
        <v>133</v>
      </c>
      <c r="J8" s="63" t="s">
        <v>129</v>
      </c>
      <c r="K8" s="64" t="s">
        <v>125</v>
      </c>
      <c r="L8" s="66"/>
      <c r="M8" s="66"/>
      <c r="N8" s="67"/>
      <c r="O8" s="66"/>
      <c r="P8" s="68"/>
    </row>
    <row r="9" spans="1:16" ht="22.5" customHeight="1" x14ac:dyDescent="0.15">
      <c r="A9" s="61"/>
      <c r="B9" s="62">
        <v>25</v>
      </c>
      <c r="C9" s="63" t="s">
        <v>134</v>
      </c>
      <c r="D9" s="63" t="s">
        <v>124</v>
      </c>
      <c r="E9" s="64" t="s">
        <v>125</v>
      </c>
      <c r="F9" s="65" t="s">
        <v>126</v>
      </c>
      <c r="G9" s="61"/>
      <c r="H9" s="62">
        <v>25</v>
      </c>
      <c r="I9" s="63" t="s">
        <v>134</v>
      </c>
      <c r="J9" s="63" t="s">
        <v>129</v>
      </c>
      <c r="K9" s="64" t="s">
        <v>125</v>
      </c>
      <c r="L9" s="66"/>
      <c r="M9" s="66"/>
      <c r="N9" s="67"/>
      <c r="O9" s="66"/>
      <c r="P9" s="68"/>
    </row>
    <row r="10" spans="1:16" ht="22.5" customHeight="1" x14ac:dyDescent="0.15">
      <c r="A10" s="61"/>
      <c r="B10" s="62">
        <v>25</v>
      </c>
      <c r="C10" s="63" t="s">
        <v>135</v>
      </c>
      <c r="D10" s="63" t="s">
        <v>124</v>
      </c>
      <c r="E10" s="64" t="s">
        <v>125</v>
      </c>
      <c r="F10" s="65" t="s">
        <v>126</v>
      </c>
      <c r="G10" s="61"/>
      <c r="H10" s="62">
        <v>25</v>
      </c>
      <c r="I10" s="63" t="s">
        <v>135</v>
      </c>
      <c r="J10" s="63" t="s">
        <v>129</v>
      </c>
      <c r="K10" s="64" t="s">
        <v>125</v>
      </c>
      <c r="L10" s="66"/>
      <c r="M10" s="66"/>
      <c r="N10" s="67"/>
      <c r="O10" s="66"/>
      <c r="P10" s="68"/>
    </row>
    <row r="11" spans="1:16" ht="22.5" customHeight="1" x14ac:dyDescent="0.15">
      <c r="A11" s="61"/>
      <c r="B11" s="62">
        <v>25</v>
      </c>
      <c r="C11" s="63" t="s">
        <v>136</v>
      </c>
      <c r="D11" s="63" t="s">
        <v>124</v>
      </c>
      <c r="E11" s="64" t="s">
        <v>125</v>
      </c>
      <c r="F11" s="65" t="s">
        <v>126</v>
      </c>
      <c r="G11" s="61"/>
      <c r="H11" s="62">
        <v>25</v>
      </c>
      <c r="I11" s="63" t="s">
        <v>136</v>
      </c>
      <c r="J11" s="63" t="s">
        <v>129</v>
      </c>
      <c r="K11" s="64" t="s">
        <v>125</v>
      </c>
      <c r="L11" s="66"/>
      <c r="M11" s="66"/>
      <c r="N11" s="67"/>
      <c r="O11" s="66"/>
      <c r="P11" s="68"/>
    </row>
    <row r="12" spans="1:16" ht="22.5" customHeight="1" x14ac:dyDescent="0.15">
      <c r="A12" s="69" t="s">
        <v>130</v>
      </c>
      <c r="B12" s="70">
        <v>25</v>
      </c>
      <c r="C12" s="46" t="s">
        <v>137</v>
      </c>
      <c r="D12" s="46" t="s">
        <v>124</v>
      </c>
      <c r="E12" s="71" t="s">
        <v>125</v>
      </c>
      <c r="F12" s="59" t="s">
        <v>138</v>
      </c>
      <c r="G12" s="69" t="s">
        <v>130</v>
      </c>
      <c r="H12" s="70">
        <v>25</v>
      </c>
      <c r="I12" s="46" t="s">
        <v>137</v>
      </c>
      <c r="J12" s="46" t="s">
        <v>129</v>
      </c>
      <c r="K12" s="71" t="s">
        <v>125</v>
      </c>
      <c r="L12" s="55"/>
      <c r="M12" s="55"/>
      <c r="N12" s="53"/>
      <c r="O12" s="55"/>
      <c r="P12" s="72"/>
    </row>
    <row r="13" spans="1:16" ht="22.5" customHeight="1" x14ac:dyDescent="0.15">
      <c r="A13" s="69" t="s">
        <v>130</v>
      </c>
      <c r="B13" s="70">
        <v>25</v>
      </c>
      <c r="C13" s="46" t="s">
        <v>139</v>
      </c>
      <c r="D13" s="46" t="s">
        <v>124</v>
      </c>
      <c r="E13" s="71" t="s">
        <v>125</v>
      </c>
      <c r="F13" s="59" t="s">
        <v>140</v>
      </c>
      <c r="G13" s="69" t="s">
        <v>130</v>
      </c>
      <c r="H13" s="70">
        <v>25</v>
      </c>
      <c r="I13" s="46" t="s">
        <v>139</v>
      </c>
      <c r="J13" s="46" t="s">
        <v>129</v>
      </c>
      <c r="K13" s="71" t="s">
        <v>125</v>
      </c>
      <c r="L13" s="55"/>
      <c r="M13" s="55"/>
      <c r="N13" s="53"/>
      <c r="O13" s="55"/>
      <c r="P13" s="72"/>
    </row>
    <row r="14" spans="1:16" ht="22.5" customHeight="1" x14ac:dyDescent="0.15">
      <c r="A14" s="69" t="s">
        <v>130</v>
      </c>
      <c r="B14" s="70">
        <v>25</v>
      </c>
      <c r="C14" s="46" t="s">
        <v>141</v>
      </c>
      <c r="D14" s="46" t="s">
        <v>124</v>
      </c>
      <c r="E14" s="71" t="s">
        <v>125</v>
      </c>
      <c r="F14" s="59" t="s">
        <v>142</v>
      </c>
      <c r="G14" s="69" t="s">
        <v>130</v>
      </c>
      <c r="H14" s="70">
        <v>25</v>
      </c>
      <c r="I14" s="46" t="s">
        <v>141</v>
      </c>
      <c r="J14" s="46" t="s">
        <v>129</v>
      </c>
      <c r="K14" s="71" t="s">
        <v>125</v>
      </c>
      <c r="L14" s="55"/>
      <c r="M14" s="55"/>
      <c r="N14" s="53"/>
      <c r="O14" s="55"/>
      <c r="P14" s="72"/>
    </row>
    <row r="15" spans="1:16" ht="22.5" customHeight="1" x14ac:dyDescent="0.15">
      <c r="A15" s="61"/>
      <c r="B15" s="62">
        <v>25</v>
      </c>
      <c r="C15" s="63" t="s">
        <v>143</v>
      </c>
      <c r="D15" s="63" t="s">
        <v>124</v>
      </c>
      <c r="E15" s="64" t="s">
        <v>125</v>
      </c>
      <c r="F15" s="65" t="s">
        <v>126</v>
      </c>
      <c r="G15" s="61"/>
      <c r="H15" s="62">
        <v>25</v>
      </c>
      <c r="I15" s="63" t="s">
        <v>143</v>
      </c>
      <c r="J15" s="63" t="s">
        <v>129</v>
      </c>
      <c r="K15" s="64" t="s">
        <v>125</v>
      </c>
      <c r="L15" s="66"/>
      <c r="M15" s="66"/>
      <c r="N15" s="67"/>
      <c r="O15" s="66"/>
      <c r="P15" s="68"/>
    </row>
    <row r="16" spans="1:16" ht="22.5" customHeight="1" x14ac:dyDescent="0.15">
      <c r="A16" s="69" t="s">
        <v>130</v>
      </c>
      <c r="B16" s="70">
        <v>25</v>
      </c>
      <c r="C16" s="46" t="s">
        <v>144</v>
      </c>
      <c r="D16" s="46" t="s">
        <v>124</v>
      </c>
      <c r="E16" s="71" t="s">
        <v>125</v>
      </c>
      <c r="F16" s="59" t="s">
        <v>145</v>
      </c>
      <c r="G16" s="69" t="s">
        <v>130</v>
      </c>
      <c r="H16" s="70">
        <v>25</v>
      </c>
      <c r="I16" s="46" t="s">
        <v>144</v>
      </c>
      <c r="J16" s="46" t="s">
        <v>129</v>
      </c>
      <c r="K16" s="71" t="s">
        <v>125</v>
      </c>
      <c r="L16" s="55"/>
      <c r="M16" s="55"/>
      <c r="N16" s="53"/>
      <c r="O16" s="55"/>
      <c r="P16" s="72"/>
    </row>
    <row r="17" spans="1:16" ht="22.5" customHeight="1" x14ac:dyDescent="0.15">
      <c r="A17" s="69" t="s">
        <v>130</v>
      </c>
      <c r="B17" s="70">
        <v>25</v>
      </c>
      <c r="C17" s="46" t="s">
        <v>146</v>
      </c>
      <c r="D17" s="46" t="s">
        <v>124</v>
      </c>
      <c r="E17" s="71" t="s">
        <v>125</v>
      </c>
      <c r="F17" s="73" t="s">
        <v>147</v>
      </c>
      <c r="G17" s="69" t="s">
        <v>130</v>
      </c>
      <c r="H17" s="70">
        <v>25</v>
      </c>
      <c r="I17" s="46" t="s">
        <v>146</v>
      </c>
      <c r="J17" s="46" t="s">
        <v>129</v>
      </c>
      <c r="K17" s="71" t="s">
        <v>125</v>
      </c>
      <c r="L17" s="55"/>
      <c r="M17" s="55"/>
      <c r="N17" s="53"/>
      <c r="O17" s="74"/>
      <c r="P17" s="72"/>
    </row>
    <row r="18" spans="1:16" ht="22.5" customHeight="1" x14ac:dyDescent="0.15">
      <c r="A18" s="69" t="s">
        <v>130</v>
      </c>
      <c r="B18" s="70">
        <v>25</v>
      </c>
      <c r="C18" s="46" t="s">
        <v>148</v>
      </c>
      <c r="D18" s="46" t="s">
        <v>124</v>
      </c>
      <c r="E18" s="71" t="s">
        <v>125</v>
      </c>
      <c r="F18" s="59" t="s">
        <v>149</v>
      </c>
      <c r="G18" s="69" t="s">
        <v>130</v>
      </c>
      <c r="H18" s="70">
        <v>25</v>
      </c>
      <c r="I18" s="46" t="s">
        <v>148</v>
      </c>
      <c r="J18" s="46" t="s">
        <v>129</v>
      </c>
      <c r="K18" s="71" t="s">
        <v>125</v>
      </c>
      <c r="L18" s="55"/>
      <c r="M18" s="55"/>
      <c r="N18" s="53"/>
      <c r="O18" s="55"/>
      <c r="P18" s="72"/>
    </row>
    <row r="19" spans="1:16" ht="22.5" customHeight="1" x14ac:dyDescent="0.15">
      <c r="A19" s="69" t="s">
        <v>130</v>
      </c>
      <c r="B19" s="70">
        <v>25</v>
      </c>
      <c r="C19" s="46" t="s">
        <v>150</v>
      </c>
      <c r="D19" s="46" t="s">
        <v>124</v>
      </c>
      <c r="E19" s="71" t="s">
        <v>125</v>
      </c>
      <c r="F19" s="59" t="s">
        <v>151</v>
      </c>
      <c r="G19" s="69" t="s">
        <v>130</v>
      </c>
      <c r="H19" s="70">
        <v>25</v>
      </c>
      <c r="I19" s="46" t="s">
        <v>150</v>
      </c>
      <c r="J19" s="46" t="s">
        <v>129</v>
      </c>
      <c r="K19" s="71" t="s">
        <v>125</v>
      </c>
      <c r="L19" s="55"/>
      <c r="M19" s="55"/>
      <c r="N19" s="53"/>
      <c r="O19" s="55"/>
      <c r="P19" s="72"/>
    </row>
    <row r="20" spans="1:16" ht="22.5" customHeight="1" x14ac:dyDescent="0.15">
      <c r="A20" s="69" t="s">
        <v>130</v>
      </c>
      <c r="B20" s="70">
        <v>25</v>
      </c>
      <c r="C20" s="46" t="s">
        <v>152</v>
      </c>
      <c r="D20" s="46" t="s">
        <v>124</v>
      </c>
      <c r="E20" s="71" t="s">
        <v>125</v>
      </c>
      <c r="F20" s="59" t="s">
        <v>153</v>
      </c>
      <c r="G20" s="69" t="s">
        <v>130</v>
      </c>
      <c r="H20" s="70">
        <v>25</v>
      </c>
      <c r="I20" s="46" t="s">
        <v>152</v>
      </c>
      <c r="J20" s="46" t="s">
        <v>129</v>
      </c>
      <c r="K20" s="71" t="s">
        <v>125</v>
      </c>
      <c r="L20" s="55"/>
      <c r="M20" s="55"/>
      <c r="N20" s="53"/>
      <c r="O20" s="55"/>
      <c r="P20" s="72"/>
    </row>
    <row r="21" spans="1:16" ht="22.5" customHeight="1" x14ac:dyDescent="0.15">
      <c r="A21" s="61"/>
      <c r="B21" s="62">
        <v>25</v>
      </c>
      <c r="C21" s="63" t="s">
        <v>154</v>
      </c>
      <c r="D21" s="63" t="s">
        <v>124</v>
      </c>
      <c r="E21" s="64" t="s">
        <v>125</v>
      </c>
      <c r="F21" s="65" t="s">
        <v>126</v>
      </c>
      <c r="G21" s="61"/>
      <c r="H21" s="62">
        <v>25</v>
      </c>
      <c r="I21" s="63" t="s">
        <v>154</v>
      </c>
      <c r="J21" s="63" t="s">
        <v>129</v>
      </c>
      <c r="K21" s="64" t="s">
        <v>125</v>
      </c>
      <c r="L21" s="66"/>
      <c r="M21" s="66"/>
      <c r="N21" s="67"/>
      <c r="O21" s="75"/>
      <c r="P21" s="68"/>
    </row>
    <row r="22" spans="1:16" ht="22.5" customHeight="1" x14ac:dyDescent="0.15">
      <c r="A22" s="69" t="s">
        <v>130</v>
      </c>
      <c r="B22" s="70">
        <v>25</v>
      </c>
      <c r="C22" s="46" t="s">
        <v>155</v>
      </c>
      <c r="D22" s="46" t="s">
        <v>124</v>
      </c>
      <c r="E22" s="71" t="s">
        <v>125</v>
      </c>
      <c r="F22" s="59" t="s">
        <v>156</v>
      </c>
      <c r="G22" s="69" t="s">
        <v>130</v>
      </c>
      <c r="H22" s="70">
        <v>25</v>
      </c>
      <c r="I22" s="46" t="s">
        <v>155</v>
      </c>
      <c r="J22" s="46" t="s">
        <v>129</v>
      </c>
      <c r="K22" s="71" t="s">
        <v>125</v>
      </c>
      <c r="L22" s="55"/>
      <c r="M22" s="55"/>
      <c r="N22" s="53"/>
      <c r="O22" s="55"/>
      <c r="P22" s="72"/>
    </row>
    <row r="23" spans="1:16" ht="22.5" customHeight="1" x14ac:dyDescent="0.15">
      <c r="A23" s="69" t="s">
        <v>130</v>
      </c>
      <c r="B23" s="70">
        <v>25</v>
      </c>
      <c r="C23" s="46" t="s">
        <v>157</v>
      </c>
      <c r="D23" s="46" t="s">
        <v>124</v>
      </c>
      <c r="E23" s="71" t="s">
        <v>125</v>
      </c>
      <c r="F23" s="59" t="s">
        <v>158</v>
      </c>
      <c r="G23" s="69" t="s">
        <v>130</v>
      </c>
      <c r="H23" s="70">
        <v>25</v>
      </c>
      <c r="I23" s="46" t="s">
        <v>157</v>
      </c>
      <c r="J23" s="46" t="s">
        <v>129</v>
      </c>
      <c r="K23" s="71" t="s">
        <v>125</v>
      </c>
      <c r="L23" s="55"/>
      <c r="M23" s="55"/>
      <c r="N23" s="53"/>
      <c r="O23" s="55"/>
      <c r="P23" s="72"/>
    </row>
    <row r="24" spans="1:16" ht="22.5" customHeight="1" x14ac:dyDescent="0.15">
      <c r="A24" s="61"/>
      <c r="B24" s="62">
        <v>25</v>
      </c>
      <c r="C24" s="63" t="s">
        <v>159</v>
      </c>
      <c r="D24" s="63" t="s">
        <v>124</v>
      </c>
      <c r="E24" s="64" t="s">
        <v>125</v>
      </c>
      <c r="F24" s="65" t="s">
        <v>126</v>
      </c>
      <c r="G24" s="61"/>
      <c r="H24" s="62">
        <v>25</v>
      </c>
      <c r="I24" s="63" t="s">
        <v>159</v>
      </c>
      <c r="J24" s="63" t="s">
        <v>129</v>
      </c>
      <c r="K24" s="64" t="s">
        <v>125</v>
      </c>
      <c r="L24" s="66"/>
      <c r="M24" s="66"/>
      <c r="N24" s="67"/>
      <c r="O24" s="75"/>
      <c r="P24" s="68"/>
    </row>
    <row r="25" spans="1:16" ht="22.5" customHeight="1" x14ac:dyDescent="0.15">
      <c r="A25" s="61"/>
      <c r="B25" s="62">
        <v>25</v>
      </c>
      <c r="C25" s="63" t="s">
        <v>160</v>
      </c>
      <c r="D25" s="63" t="s">
        <v>124</v>
      </c>
      <c r="E25" s="64" t="s">
        <v>125</v>
      </c>
      <c r="F25" s="76" t="s">
        <v>126</v>
      </c>
      <c r="G25" s="61"/>
      <c r="H25" s="62">
        <v>25</v>
      </c>
      <c r="I25" s="63" t="s">
        <v>160</v>
      </c>
      <c r="J25" s="63" t="s">
        <v>129</v>
      </c>
      <c r="K25" s="64" t="s">
        <v>125</v>
      </c>
      <c r="L25" s="66"/>
      <c r="M25" s="66"/>
      <c r="N25" s="67"/>
      <c r="O25" s="75"/>
      <c r="P25" s="68"/>
    </row>
    <row r="26" spans="1:16" ht="22.5" customHeight="1" x14ac:dyDescent="0.15">
      <c r="A26" s="69" t="s">
        <v>130</v>
      </c>
      <c r="B26" s="70">
        <v>25</v>
      </c>
      <c r="C26" s="46" t="s">
        <v>161</v>
      </c>
      <c r="D26" s="46" t="s">
        <v>124</v>
      </c>
      <c r="E26" s="71" t="s">
        <v>125</v>
      </c>
      <c r="F26" s="73" t="s">
        <v>162</v>
      </c>
      <c r="G26" s="69" t="s">
        <v>130</v>
      </c>
      <c r="H26" s="70">
        <v>25</v>
      </c>
      <c r="I26" s="46" t="s">
        <v>161</v>
      </c>
      <c r="J26" s="46" t="s">
        <v>129</v>
      </c>
      <c r="K26" s="71" t="s">
        <v>125</v>
      </c>
      <c r="L26" s="55"/>
      <c r="M26" s="55"/>
      <c r="N26" s="53"/>
      <c r="O26" s="74"/>
      <c r="P26" s="72"/>
    </row>
    <row r="27" spans="1:16" ht="22.5" customHeight="1" x14ac:dyDescent="0.15">
      <c r="A27" s="69" t="s">
        <v>130</v>
      </c>
      <c r="B27" s="70">
        <v>25</v>
      </c>
      <c r="C27" s="46" t="s">
        <v>163</v>
      </c>
      <c r="D27" s="46" t="s">
        <v>124</v>
      </c>
      <c r="E27" s="71" t="s">
        <v>125</v>
      </c>
      <c r="F27" s="73" t="s">
        <v>164</v>
      </c>
      <c r="G27" s="69" t="s">
        <v>130</v>
      </c>
      <c r="H27" s="70">
        <v>25</v>
      </c>
      <c r="I27" s="46" t="s">
        <v>163</v>
      </c>
      <c r="J27" s="46" t="s">
        <v>129</v>
      </c>
      <c r="K27" s="71" t="s">
        <v>125</v>
      </c>
      <c r="L27" s="55"/>
      <c r="M27" s="55"/>
      <c r="N27" s="53"/>
      <c r="O27" s="74"/>
      <c r="P27" s="72"/>
    </row>
    <row r="28" spans="1:16" ht="22.5" customHeight="1" x14ac:dyDescent="0.15">
      <c r="A28" s="69" t="s">
        <v>130</v>
      </c>
      <c r="B28" s="70">
        <v>25</v>
      </c>
      <c r="C28" s="46" t="s">
        <v>165</v>
      </c>
      <c r="D28" s="46" t="s">
        <v>124</v>
      </c>
      <c r="E28" s="71" t="s">
        <v>125</v>
      </c>
      <c r="F28" s="77" t="s">
        <v>166</v>
      </c>
      <c r="G28" s="69" t="s">
        <v>130</v>
      </c>
      <c r="H28" s="70">
        <v>25</v>
      </c>
      <c r="I28" s="46" t="s">
        <v>165</v>
      </c>
      <c r="J28" s="46" t="s">
        <v>129</v>
      </c>
      <c r="K28" s="71" t="s">
        <v>125</v>
      </c>
      <c r="L28" s="55"/>
      <c r="M28" s="55"/>
      <c r="N28" s="53"/>
      <c r="O28" s="74"/>
      <c r="P28" s="72"/>
    </row>
    <row r="29" spans="1:16" ht="22.5" customHeight="1" x14ac:dyDescent="0.15">
      <c r="A29" s="61"/>
      <c r="B29" s="62">
        <v>25</v>
      </c>
      <c r="C29" s="63" t="s">
        <v>167</v>
      </c>
      <c r="D29" s="63" t="s">
        <v>124</v>
      </c>
      <c r="E29" s="64" t="s">
        <v>125</v>
      </c>
      <c r="F29" s="78" t="s">
        <v>126</v>
      </c>
      <c r="G29" s="61"/>
      <c r="H29" s="62">
        <v>25</v>
      </c>
      <c r="I29" s="63" t="s">
        <v>167</v>
      </c>
      <c r="J29" s="63" t="s">
        <v>129</v>
      </c>
      <c r="K29" s="64" t="s">
        <v>125</v>
      </c>
      <c r="L29" s="66"/>
      <c r="M29" s="66"/>
      <c r="N29" s="67"/>
      <c r="O29" s="75"/>
      <c r="P29" s="68"/>
    </row>
    <row r="30" spans="1:16" ht="22.5" customHeight="1" x14ac:dyDescent="0.15">
      <c r="A30" s="69" t="s">
        <v>130</v>
      </c>
      <c r="B30" s="70">
        <v>25</v>
      </c>
      <c r="C30" s="46" t="s">
        <v>168</v>
      </c>
      <c r="D30" s="46" t="s">
        <v>124</v>
      </c>
      <c r="E30" s="71" t="s">
        <v>125</v>
      </c>
      <c r="F30" s="77" t="s">
        <v>169</v>
      </c>
      <c r="G30" s="69" t="s">
        <v>130</v>
      </c>
      <c r="H30" s="70">
        <v>25</v>
      </c>
      <c r="I30" s="46" t="s">
        <v>168</v>
      </c>
      <c r="J30" s="46" t="s">
        <v>129</v>
      </c>
      <c r="K30" s="71" t="s">
        <v>125</v>
      </c>
      <c r="L30" s="55"/>
      <c r="M30" s="55"/>
      <c r="N30" s="53"/>
      <c r="O30" s="74"/>
      <c r="P30" s="72"/>
    </row>
    <row r="31" spans="1:16" ht="22.5" customHeight="1" x14ac:dyDescent="0.15">
      <c r="A31" s="69" t="s">
        <v>130</v>
      </c>
      <c r="B31" s="70">
        <v>25</v>
      </c>
      <c r="C31" s="46" t="s">
        <v>170</v>
      </c>
      <c r="D31" s="46" t="s">
        <v>124</v>
      </c>
      <c r="E31" s="71" t="s">
        <v>125</v>
      </c>
      <c r="F31" s="77" t="s">
        <v>171</v>
      </c>
      <c r="G31" s="69" t="s">
        <v>130</v>
      </c>
      <c r="H31" s="70">
        <v>25</v>
      </c>
      <c r="I31" s="46" t="s">
        <v>170</v>
      </c>
      <c r="J31" s="46" t="s">
        <v>129</v>
      </c>
      <c r="K31" s="71" t="s">
        <v>125</v>
      </c>
      <c r="L31" s="55"/>
      <c r="M31" s="55"/>
      <c r="N31" s="53"/>
      <c r="O31" s="74"/>
      <c r="P31" s="72"/>
    </row>
    <row r="32" spans="1:16" ht="21.75" customHeight="1" x14ac:dyDescent="0.15">
      <c r="A32" s="69" t="s">
        <v>130</v>
      </c>
      <c r="B32" s="70">
        <v>25</v>
      </c>
      <c r="C32" s="46">
        <v>29</v>
      </c>
      <c r="D32" s="46" t="s">
        <v>124</v>
      </c>
      <c r="E32" s="71" t="s">
        <v>125</v>
      </c>
      <c r="F32" s="77" t="s">
        <v>172</v>
      </c>
      <c r="G32" s="69" t="s">
        <v>130</v>
      </c>
      <c r="H32" s="70">
        <v>25</v>
      </c>
      <c r="I32" s="46">
        <v>29</v>
      </c>
      <c r="J32" s="46" t="s">
        <v>129</v>
      </c>
      <c r="K32" s="71" t="s">
        <v>125</v>
      </c>
      <c r="L32" s="55"/>
      <c r="M32" s="55"/>
      <c r="N32" s="55"/>
      <c r="O32" s="55"/>
      <c r="P32" s="55"/>
    </row>
    <row r="33" spans="1:16" ht="21.75" customHeight="1" x14ac:dyDescent="0.15">
      <c r="A33" s="69" t="s">
        <v>130</v>
      </c>
      <c r="B33" s="70">
        <v>25</v>
      </c>
      <c r="C33" s="46">
        <v>30</v>
      </c>
      <c r="D33" s="46" t="s">
        <v>124</v>
      </c>
      <c r="E33" s="71"/>
      <c r="F33" s="77" t="s">
        <v>173</v>
      </c>
      <c r="G33" s="69" t="s">
        <v>130</v>
      </c>
      <c r="H33" s="70">
        <v>25</v>
      </c>
      <c r="I33" s="46">
        <v>30</v>
      </c>
      <c r="J33" s="46" t="s">
        <v>129</v>
      </c>
      <c r="K33" s="71" t="s">
        <v>125</v>
      </c>
      <c r="L33" s="55"/>
      <c r="M33" s="55"/>
      <c r="N33" s="55"/>
      <c r="O33" s="55"/>
      <c r="P33" s="55"/>
    </row>
    <row r="34" spans="1:16" ht="21.75" customHeight="1" x14ac:dyDescent="0.15">
      <c r="A34" s="69" t="s">
        <v>130</v>
      </c>
      <c r="B34" s="70">
        <v>25</v>
      </c>
      <c r="C34" s="46">
        <v>31</v>
      </c>
      <c r="D34" s="46" t="s">
        <v>174</v>
      </c>
      <c r="E34" s="71"/>
      <c r="F34" s="77" t="s">
        <v>175</v>
      </c>
      <c r="G34" s="69" t="s">
        <v>130</v>
      </c>
      <c r="H34" s="70">
        <v>25</v>
      </c>
      <c r="I34" s="46">
        <v>31</v>
      </c>
      <c r="J34" s="46" t="s">
        <v>174</v>
      </c>
      <c r="K34" s="71" t="s">
        <v>125</v>
      </c>
      <c r="L34" s="55"/>
      <c r="M34" s="55"/>
      <c r="N34" s="55"/>
      <c r="O34" s="55"/>
      <c r="P34" s="55"/>
    </row>
    <row r="35" spans="1:16" ht="21.75" customHeight="1" x14ac:dyDescent="0.15">
      <c r="A35" s="69" t="s">
        <v>130</v>
      </c>
      <c r="B35" s="70">
        <v>25</v>
      </c>
      <c r="C35" s="46">
        <v>32</v>
      </c>
      <c r="D35" s="46" t="s">
        <v>176</v>
      </c>
      <c r="E35" s="71"/>
      <c r="F35" s="77" t="s">
        <v>177</v>
      </c>
      <c r="G35" s="69" t="s">
        <v>130</v>
      </c>
      <c r="H35" s="70">
        <v>25</v>
      </c>
      <c r="I35" s="46">
        <v>32</v>
      </c>
      <c r="J35" s="46" t="s">
        <v>176</v>
      </c>
      <c r="K35" s="71" t="s">
        <v>125</v>
      </c>
      <c r="L35" s="55"/>
      <c r="M35" s="55"/>
      <c r="N35" s="55"/>
      <c r="O35" s="55"/>
      <c r="P35" s="55"/>
    </row>
    <row r="36" spans="1:16" ht="21.75" customHeight="1" x14ac:dyDescent="0.15">
      <c r="A36" s="69" t="s">
        <v>130</v>
      </c>
      <c r="B36" s="70">
        <v>25</v>
      </c>
      <c r="C36" s="46">
        <v>33</v>
      </c>
      <c r="D36" s="46" t="s">
        <v>178</v>
      </c>
      <c r="E36" s="71"/>
      <c r="F36" s="77" t="s">
        <v>179</v>
      </c>
      <c r="G36" s="69" t="s">
        <v>130</v>
      </c>
      <c r="H36" s="70">
        <v>25</v>
      </c>
      <c r="I36" s="46">
        <v>33</v>
      </c>
      <c r="J36" s="46" t="s">
        <v>178</v>
      </c>
      <c r="K36" s="71" t="s">
        <v>125</v>
      </c>
      <c r="L36" s="55"/>
      <c r="M36" s="55"/>
      <c r="N36" s="55"/>
      <c r="O36" s="55"/>
      <c r="P36" s="55"/>
    </row>
    <row r="37" spans="1:16" ht="21.75" customHeight="1" x14ac:dyDescent="0.15">
      <c r="A37" s="69" t="s">
        <v>130</v>
      </c>
      <c r="B37" s="70">
        <v>25</v>
      </c>
      <c r="C37" s="46">
        <v>34</v>
      </c>
      <c r="D37" s="46" t="s">
        <v>180</v>
      </c>
      <c r="E37" s="71"/>
      <c r="F37" s="77" t="s">
        <v>181</v>
      </c>
      <c r="G37" s="69" t="s">
        <v>130</v>
      </c>
      <c r="H37" s="70">
        <v>25</v>
      </c>
      <c r="I37" s="46">
        <v>34</v>
      </c>
      <c r="J37" s="46" t="s">
        <v>180</v>
      </c>
      <c r="K37" s="71" t="s">
        <v>125</v>
      </c>
      <c r="L37" s="55"/>
      <c r="M37" s="55"/>
      <c r="N37" s="55"/>
      <c r="O37" s="55"/>
      <c r="P37" s="55"/>
    </row>
    <row r="38" spans="1:16" ht="19.5" customHeight="1" x14ac:dyDescent="0.15">
      <c r="A38" s="53"/>
      <c r="B38" s="53"/>
      <c r="C38" s="53"/>
      <c r="D38" s="53"/>
      <c r="E38" s="53"/>
      <c r="F38" s="54"/>
      <c r="G38" s="53"/>
      <c r="H38" s="53"/>
      <c r="I38" s="53"/>
      <c r="J38" s="53"/>
      <c r="K38" s="55"/>
      <c r="L38" s="55"/>
      <c r="M38" s="55"/>
      <c r="N38" s="55"/>
      <c r="O38" s="55"/>
      <c r="P38" s="55"/>
    </row>
    <row r="39" spans="1:16" ht="21.75" customHeight="1" x14ac:dyDescent="0.15">
      <c r="A39" s="69"/>
      <c r="B39" s="70"/>
      <c r="C39" s="46"/>
      <c r="D39" s="46"/>
      <c r="E39" s="71"/>
      <c r="F39" s="77"/>
      <c r="G39" s="69"/>
      <c r="H39" s="70"/>
      <c r="I39" s="46"/>
      <c r="J39" s="46"/>
      <c r="K39" s="71"/>
      <c r="L39" s="55"/>
      <c r="M39" s="55"/>
      <c r="N39" s="55"/>
      <c r="O39" s="55"/>
      <c r="P39" s="55"/>
    </row>
    <row r="40" spans="1:16" ht="21.75" customHeight="1" x14ac:dyDescent="0.15">
      <c r="A40" s="69"/>
      <c r="B40" s="70"/>
      <c r="C40" s="46"/>
      <c r="D40" s="46"/>
      <c r="E40" s="71"/>
      <c r="F40" s="77"/>
      <c r="G40" s="69"/>
      <c r="H40" s="70"/>
      <c r="I40" s="46"/>
      <c r="J40" s="46"/>
      <c r="K40" s="71"/>
      <c r="L40" s="55"/>
      <c r="M40" s="55"/>
      <c r="N40" s="55"/>
      <c r="O40" s="55"/>
      <c r="P40" s="55"/>
    </row>
    <row r="41" spans="1:16" ht="21.75" customHeight="1" x14ac:dyDescent="0.15">
      <c r="A41" s="69"/>
      <c r="B41" s="70"/>
      <c r="C41" s="46"/>
      <c r="D41" s="46"/>
      <c r="E41" s="71"/>
      <c r="F41" s="77"/>
      <c r="G41" s="69"/>
      <c r="H41" s="70"/>
      <c r="I41" s="46"/>
      <c r="J41" s="46"/>
      <c r="K41" s="71"/>
      <c r="L41" s="55"/>
      <c r="M41" s="55"/>
      <c r="N41" s="55"/>
      <c r="O41" s="55"/>
      <c r="P41" s="55"/>
    </row>
    <row r="42" spans="1:16" ht="21.75" customHeight="1" x14ac:dyDescent="0.15">
      <c r="A42" s="69"/>
      <c r="B42" s="70"/>
      <c r="C42" s="46"/>
      <c r="D42" s="46"/>
      <c r="E42" s="71"/>
      <c r="F42" s="77"/>
      <c r="G42" s="69"/>
      <c r="H42" s="70"/>
      <c r="I42" s="46"/>
      <c r="J42" s="46"/>
      <c r="K42" s="71"/>
      <c r="L42" s="55"/>
      <c r="M42" s="55"/>
      <c r="N42" s="55"/>
      <c r="O42" s="55"/>
      <c r="P42" s="55"/>
    </row>
    <row r="43" spans="1:16" ht="21.75" customHeight="1" x14ac:dyDescent="0.15">
      <c r="A43" s="69"/>
      <c r="B43" s="70"/>
      <c r="C43" s="46"/>
      <c r="D43" s="46"/>
      <c r="E43" s="71"/>
      <c r="F43" s="77"/>
      <c r="G43" s="69"/>
      <c r="H43" s="70"/>
      <c r="I43" s="46"/>
      <c r="J43" s="46"/>
      <c r="K43" s="71"/>
      <c r="L43" s="55"/>
      <c r="M43" s="55"/>
      <c r="N43" s="55"/>
      <c r="O43" s="55"/>
      <c r="P43" s="55"/>
    </row>
    <row r="44" spans="1:16" ht="21.75" customHeight="1" x14ac:dyDescent="0.15">
      <c r="A44" s="69"/>
      <c r="B44" s="70"/>
      <c r="C44" s="46"/>
      <c r="D44" s="46"/>
      <c r="E44" s="71"/>
      <c r="F44" s="77"/>
      <c r="G44" s="69"/>
      <c r="H44" s="70"/>
      <c r="I44" s="46"/>
      <c r="J44" s="46"/>
      <c r="K44" s="71"/>
      <c r="L44" s="55"/>
      <c r="M44" s="55"/>
      <c r="N44" s="55"/>
      <c r="O44" s="55"/>
      <c r="P44" s="55"/>
    </row>
    <row r="45" spans="1:16" ht="21.75" customHeight="1" x14ac:dyDescent="0.15">
      <c r="A45" s="69"/>
      <c r="B45" s="70"/>
      <c r="C45" s="46"/>
      <c r="D45" s="46"/>
      <c r="E45" s="71"/>
      <c r="F45" s="77"/>
      <c r="G45" s="69"/>
      <c r="H45" s="70"/>
      <c r="I45" s="46"/>
      <c r="J45" s="46"/>
      <c r="K45" s="71"/>
      <c r="L45" s="55"/>
      <c r="M45" s="55"/>
      <c r="N45" s="55"/>
      <c r="O45" s="55"/>
      <c r="P45" s="55"/>
    </row>
    <row r="46" spans="1:16" ht="21.75" customHeight="1" x14ac:dyDescent="0.15">
      <c r="A46" s="69"/>
      <c r="B46" s="70"/>
      <c r="C46" s="46"/>
      <c r="D46" s="46"/>
      <c r="E46" s="71"/>
      <c r="F46" s="77"/>
      <c r="G46" s="69"/>
      <c r="H46" s="70"/>
      <c r="I46" s="46"/>
      <c r="J46" s="46"/>
      <c r="K46" s="71"/>
      <c r="L46" s="55"/>
      <c r="M46" s="55"/>
      <c r="N46" s="55"/>
      <c r="O46" s="55"/>
      <c r="P46" s="55"/>
    </row>
    <row r="47" spans="1:16" ht="21.75" customHeight="1" x14ac:dyDescent="0.15">
      <c r="A47" s="69"/>
      <c r="B47" s="70"/>
      <c r="C47" s="46"/>
      <c r="D47" s="46"/>
      <c r="E47" s="71"/>
      <c r="F47" s="77"/>
      <c r="G47" s="69"/>
      <c r="H47" s="70"/>
      <c r="I47" s="46"/>
      <c r="J47" s="46"/>
      <c r="K47" s="71"/>
      <c r="L47" s="55"/>
      <c r="M47" s="55"/>
      <c r="N47" s="55"/>
      <c r="O47" s="55"/>
      <c r="P47" s="55"/>
    </row>
    <row r="48" spans="1:16" ht="21.75" customHeight="1" x14ac:dyDescent="0.15">
      <c r="A48" s="69"/>
      <c r="B48" s="70"/>
      <c r="C48" s="46"/>
      <c r="D48" s="46"/>
      <c r="E48" s="71"/>
      <c r="F48" s="77"/>
      <c r="G48" s="69"/>
      <c r="H48" s="70"/>
      <c r="I48" s="46"/>
      <c r="J48" s="46"/>
      <c r="K48" s="71"/>
      <c r="L48" s="55"/>
      <c r="M48" s="55"/>
      <c r="N48" s="55"/>
      <c r="O48" s="55"/>
      <c r="P48" s="55"/>
    </row>
    <row r="49" spans="1:16" ht="21.75" customHeight="1" x14ac:dyDescent="0.15">
      <c r="A49" s="69"/>
      <c r="B49" s="70"/>
      <c r="C49" s="46"/>
      <c r="D49" s="46"/>
      <c r="E49" s="71"/>
      <c r="F49" s="77"/>
      <c r="G49" s="69"/>
      <c r="H49" s="70"/>
      <c r="I49" s="46"/>
      <c r="J49" s="46"/>
      <c r="K49" s="71"/>
      <c r="L49" s="55"/>
      <c r="M49" s="55"/>
      <c r="N49" s="55"/>
      <c r="O49" s="55"/>
      <c r="P49" s="55"/>
    </row>
    <row r="50" spans="1:16" ht="21.75" customHeight="1" x14ac:dyDescent="0.15">
      <c r="A50" s="69"/>
      <c r="B50" s="70"/>
      <c r="C50" s="46"/>
      <c r="D50" s="46"/>
      <c r="E50" s="71"/>
      <c r="F50" s="77"/>
      <c r="G50" s="69"/>
      <c r="H50" s="70"/>
      <c r="I50" s="46"/>
      <c r="J50" s="46"/>
      <c r="K50" s="71"/>
      <c r="L50" s="55"/>
      <c r="M50" s="55"/>
      <c r="N50" s="55"/>
      <c r="O50" s="55"/>
      <c r="P50" s="55"/>
    </row>
    <row r="51" spans="1:16" ht="21.75" customHeight="1" x14ac:dyDescent="0.15">
      <c r="A51" s="69"/>
      <c r="B51" s="70"/>
      <c r="C51" s="46"/>
      <c r="D51" s="46"/>
      <c r="E51" s="71"/>
      <c r="F51" s="77"/>
      <c r="G51" s="69"/>
      <c r="H51" s="70"/>
      <c r="I51" s="46"/>
      <c r="J51" s="46"/>
      <c r="K51" s="71"/>
      <c r="L51" s="55"/>
      <c r="M51" s="55"/>
      <c r="N51" s="55"/>
      <c r="O51" s="55"/>
      <c r="P51" s="55"/>
    </row>
    <row r="52" spans="1:16" ht="21.75" customHeight="1" x14ac:dyDescent="0.15">
      <c r="A52" s="69"/>
      <c r="B52" s="70"/>
      <c r="C52" s="46"/>
      <c r="D52" s="46"/>
      <c r="E52" s="71"/>
      <c r="F52" s="77"/>
      <c r="G52" s="69"/>
      <c r="H52" s="70"/>
      <c r="I52" s="46"/>
      <c r="J52" s="46"/>
      <c r="K52" s="71"/>
      <c r="L52" s="55"/>
      <c r="M52" s="55"/>
      <c r="N52" s="55"/>
      <c r="O52" s="55"/>
      <c r="P52" s="55"/>
    </row>
    <row r="53" spans="1:16" ht="21.75" customHeight="1" x14ac:dyDescent="0.15">
      <c r="A53" s="69"/>
      <c r="B53" s="70"/>
      <c r="C53" s="46"/>
      <c r="D53" s="46"/>
      <c r="E53" s="71"/>
      <c r="F53" s="77"/>
      <c r="G53" s="69"/>
      <c r="H53" s="70"/>
      <c r="I53" s="46"/>
      <c r="J53" s="46"/>
      <c r="K53" s="71"/>
      <c r="L53" s="55"/>
      <c r="M53" s="55"/>
      <c r="N53" s="55"/>
      <c r="O53" s="55"/>
      <c r="P53" s="55"/>
    </row>
    <row r="54" spans="1:16" ht="21.75" customHeight="1" x14ac:dyDescent="0.15">
      <c r="A54" s="69"/>
      <c r="B54" s="70"/>
      <c r="C54" s="46"/>
      <c r="D54" s="46"/>
      <c r="E54" s="71"/>
      <c r="F54" s="77"/>
      <c r="G54" s="69"/>
      <c r="H54" s="70"/>
      <c r="I54" s="46"/>
      <c r="J54" s="46"/>
      <c r="K54" s="71"/>
      <c r="L54" s="55"/>
      <c r="M54" s="55"/>
      <c r="N54" s="55"/>
      <c r="O54" s="55"/>
      <c r="P54" s="55"/>
    </row>
    <row r="55" spans="1:16" ht="21.75" customHeight="1" x14ac:dyDescent="0.15">
      <c r="A55" s="69"/>
      <c r="B55" s="70"/>
      <c r="C55" s="46"/>
      <c r="D55" s="46"/>
      <c r="E55" s="71"/>
      <c r="F55" s="77"/>
      <c r="G55" s="69"/>
      <c r="H55" s="70"/>
      <c r="I55" s="46"/>
      <c r="J55" s="46"/>
      <c r="K55" s="71"/>
      <c r="L55" s="55"/>
      <c r="M55" s="55"/>
      <c r="N55" s="55"/>
      <c r="O55" s="55"/>
      <c r="P55" s="55"/>
    </row>
    <row r="56" spans="1:16" ht="21.75" customHeight="1" x14ac:dyDescent="0.15">
      <c r="A56" s="69"/>
      <c r="B56" s="70"/>
      <c r="C56" s="46"/>
      <c r="D56" s="46"/>
      <c r="E56" s="71"/>
      <c r="F56" s="77"/>
      <c r="G56" s="69"/>
      <c r="H56" s="70"/>
      <c r="I56" s="46"/>
      <c r="J56" s="46"/>
      <c r="K56" s="71"/>
      <c r="L56" s="55"/>
      <c r="M56" s="55"/>
      <c r="N56" s="55"/>
      <c r="O56" s="55"/>
      <c r="P56" s="55"/>
    </row>
    <row r="57" spans="1:16" ht="21.75" customHeight="1" x14ac:dyDescent="0.15">
      <c r="A57" s="69"/>
      <c r="B57" s="70"/>
      <c r="C57" s="46"/>
      <c r="D57" s="46"/>
      <c r="E57" s="71"/>
      <c r="F57" s="77"/>
      <c r="G57" s="69"/>
      <c r="H57" s="70"/>
      <c r="I57" s="46"/>
      <c r="J57" s="46"/>
      <c r="K57" s="71"/>
      <c r="L57" s="55"/>
      <c r="M57" s="55"/>
      <c r="N57" s="55"/>
      <c r="O57" s="55"/>
      <c r="P57" s="55"/>
    </row>
    <row r="58" spans="1:16" ht="21.75" customHeight="1" x14ac:dyDescent="0.15">
      <c r="A58" s="69"/>
      <c r="B58" s="70"/>
      <c r="C58" s="46"/>
      <c r="D58" s="46"/>
      <c r="E58" s="71"/>
      <c r="F58" s="77"/>
      <c r="G58" s="69"/>
      <c r="H58" s="70"/>
      <c r="I58" s="46"/>
      <c r="J58" s="46"/>
      <c r="K58" s="71"/>
      <c r="L58" s="55"/>
      <c r="M58" s="55"/>
      <c r="N58" s="55"/>
      <c r="O58" s="55"/>
      <c r="P58" s="55"/>
    </row>
    <row r="59" spans="1:16" ht="21.75" customHeight="1" x14ac:dyDescent="0.15">
      <c r="A59" s="69"/>
      <c r="B59" s="70"/>
      <c r="C59" s="46"/>
      <c r="D59" s="46"/>
      <c r="E59" s="71"/>
      <c r="F59" s="77"/>
      <c r="G59" s="69"/>
      <c r="H59" s="70"/>
      <c r="I59" s="46"/>
      <c r="J59" s="46"/>
      <c r="K59" s="71"/>
      <c r="L59" s="55"/>
      <c r="M59" s="55"/>
      <c r="N59" s="55"/>
      <c r="O59" s="55"/>
      <c r="P59" s="55"/>
    </row>
    <row r="60" spans="1:16" ht="21.75" customHeight="1" x14ac:dyDescent="0.15">
      <c r="A60" s="69"/>
      <c r="B60" s="70"/>
      <c r="C60" s="46"/>
      <c r="D60" s="46"/>
      <c r="E60" s="71"/>
      <c r="F60" s="77"/>
      <c r="G60" s="69"/>
      <c r="H60" s="70"/>
      <c r="I60" s="46"/>
      <c r="J60" s="46"/>
      <c r="K60" s="71"/>
      <c r="L60" s="55"/>
      <c r="M60" s="55"/>
      <c r="N60" s="55"/>
      <c r="O60" s="55"/>
      <c r="P60" s="55"/>
    </row>
    <row r="61" spans="1:16" ht="19.5" customHeight="1" x14ac:dyDescent="0.15">
      <c r="A61" s="15"/>
      <c r="B61" s="70"/>
      <c r="C61" s="16"/>
      <c r="D61" s="16"/>
      <c r="E61" s="17"/>
      <c r="F61" s="79"/>
      <c r="G61" s="15"/>
      <c r="H61" s="70"/>
      <c r="I61" s="16"/>
      <c r="J61" s="16"/>
      <c r="K61" s="17"/>
      <c r="L61" s="18"/>
      <c r="M61" s="18"/>
      <c r="N61" s="18"/>
      <c r="O61" s="18"/>
      <c r="P61" s="18"/>
    </row>
    <row r="62" spans="1:16" ht="19.5" customHeight="1" x14ac:dyDescent="0.15">
      <c r="A62" s="53"/>
      <c r="B62" s="53"/>
      <c r="C62" s="53"/>
      <c r="D62" s="53"/>
      <c r="E62" s="53"/>
      <c r="F62" s="54"/>
      <c r="G62" s="53"/>
      <c r="H62" s="53"/>
      <c r="I62" s="53"/>
      <c r="J62" s="53"/>
      <c r="K62" s="55"/>
      <c r="L62" s="55"/>
      <c r="M62" s="55"/>
      <c r="N62" s="55"/>
      <c r="O62" s="55"/>
      <c r="P62" s="55"/>
    </row>
    <row r="63" spans="1:16" ht="19.5" customHeight="1" x14ac:dyDescent="0.15">
      <c r="A63" s="327"/>
      <c r="B63" s="327"/>
      <c r="C63" s="327"/>
      <c r="D63" s="327"/>
      <c r="E63" s="327"/>
      <c r="F63" s="327"/>
      <c r="G63" s="327"/>
      <c r="H63" s="327"/>
      <c r="I63" s="327"/>
      <c r="J63" s="327"/>
      <c r="K63" s="327"/>
      <c r="L63" s="55"/>
      <c r="M63" s="55"/>
      <c r="N63" s="55"/>
      <c r="O63" s="55"/>
      <c r="P63" s="55"/>
    </row>
  </sheetData>
  <mergeCells count="6">
    <mergeCell ref="A63:K63"/>
    <mergeCell ref="A2:K2"/>
    <mergeCell ref="A3:E3"/>
    <mergeCell ref="H3:K3"/>
    <mergeCell ref="D4:E4"/>
    <mergeCell ref="J4:K4"/>
  </mergeCells>
  <phoneticPr fontId="3"/>
  <conditionalFormatting sqref="H39:K60 A5:H37 A39:G61 I32:K37">
    <cfRule type="expression" dxfId="647" priority="1">
      <formula>MOD(ROW(),2)=1</formula>
    </cfRule>
  </conditionalFormatting>
  <conditionalFormatting sqref="H61:K61">
    <cfRule type="expression" dxfId="646" priority="2">
      <formula>MOD(ROW(),2)=1</formula>
    </cfRule>
  </conditionalFormatting>
  <conditionalFormatting sqref="I5:P31">
    <cfRule type="expression" dxfId="645" priority="3">
      <formula>MOD(ROW(),2)=1</formula>
    </cfRule>
  </conditionalFormatting>
  <conditionalFormatting sqref="O5:P31">
    <cfRule type="cellIs" dxfId="644" priority="4" stopIfTrue="1" operator="equal">
      <formula>0</formula>
    </cfRule>
  </conditionalFormatting>
  <printOptions horizontalCentered="1" verticalCentered="1"/>
  <pageMargins left="0.59055118110236227" right="0.59055118110236227" top="0" bottom="0" header="0.51181102362204722" footer="0.51181102362204722"/>
  <pageSetup paperSize="9" scale="93" orientation="portrait" r:id="rId1"/>
  <headerFooter alignWithMargins="0"/>
  <rowBreaks count="2" manualBreakCount="2">
    <brk id="38" max="10" man="1"/>
    <brk id="60" max="10"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AA56D-59B9-4876-A746-654FF4E7087A}">
  <sheetPr codeName="Sheet4"/>
  <dimension ref="A1:T15"/>
  <sheetViews>
    <sheetView view="pageBreakPreview" zoomScaleNormal="100" zoomScaleSheetLayoutView="100" workbookViewId="0">
      <selection activeCell="T16" sqref="T16"/>
    </sheetView>
  </sheetViews>
  <sheetFormatPr defaultColWidth="6.5703125" defaultRowHeight="29.25" customHeight="1" x14ac:dyDescent="0.15"/>
  <cols>
    <col min="1" max="3" width="6.5703125" customWidth="1"/>
    <col min="20" max="20" width="10.140625" customWidth="1"/>
  </cols>
  <sheetData>
    <row r="1" spans="1:20" ht="29.25" customHeight="1" x14ac:dyDescent="0.25">
      <c r="A1" s="80" t="s">
        <v>111</v>
      </c>
      <c r="B1" s="80"/>
      <c r="C1" s="80"/>
      <c r="D1" s="80"/>
      <c r="E1" s="80"/>
      <c r="F1" s="80"/>
      <c r="G1" s="80"/>
      <c r="H1" s="80"/>
      <c r="I1" s="80"/>
      <c r="J1" s="80"/>
      <c r="K1" s="80"/>
      <c r="L1" s="80"/>
      <c r="M1" s="80"/>
      <c r="N1" s="80"/>
      <c r="O1" s="80"/>
      <c r="P1" s="80"/>
      <c r="Q1" s="80"/>
      <c r="R1" s="80"/>
      <c r="S1" s="331">
        <v>45768</v>
      </c>
      <c r="T1" s="331"/>
    </row>
    <row r="2" spans="1:20" ht="29.25" customHeight="1" x14ac:dyDescent="0.15">
      <c r="A2" s="8"/>
      <c r="B2" s="10"/>
      <c r="C2" s="5"/>
      <c r="D2" s="8"/>
      <c r="E2" s="8"/>
      <c r="F2" s="8"/>
      <c r="G2" s="8"/>
      <c r="H2" s="8"/>
      <c r="I2" s="8"/>
      <c r="J2" s="8"/>
      <c r="K2" s="8"/>
      <c r="L2" s="8"/>
      <c r="M2" s="8"/>
      <c r="N2" s="8"/>
      <c r="O2" s="8"/>
      <c r="P2" s="8"/>
      <c r="Q2" s="8"/>
      <c r="R2" s="8"/>
      <c r="S2" s="8"/>
      <c r="T2" s="8"/>
    </row>
    <row r="3" spans="1:20" ht="29.25" customHeight="1" x14ac:dyDescent="0.15">
      <c r="A3" s="8"/>
      <c r="B3" s="10"/>
      <c r="C3" s="5"/>
      <c r="D3" s="8"/>
      <c r="E3" s="8"/>
      <c r="F3" s="8"/>
      <c r="G3" s="8"/>
      <c r="H3" s="8"/>
      <c r="I3" s="8"/>
      <c r="J3" s="8"/>
      <c r="K3" s="8"/>
      <c r="L3" s="8"/>
      <c r="M3" s="8"/>
      <c r="N3" s="8"/>
      <c r="O3" s="8"/>
      <c r="P3" s="8"/>
      <c r="Q3" s="8"/>
      <c r="R3" s="8"/>
      <c r="S3" s="8"/>
      <c r="T3" s="8"/>
    </row>
    <row r="4" spans="1:20" ht="29.25" customHeight="1" x14ac:dyDescent="0.15">
      <c r="A4" s="6"/>
      <c r="B4" s="7"/>
      <c r="C4" s="5"/>
      <c r="D4" s="8"/>
      <c r="E4" s="8"/>
      <c r="F4" s="8"/>
      <c r="G4" s="8"/>
      <c r="H4" s="8"/>
      <c r="I4" s="8"/>
      <c r="J4" s="8"/>
      <c r="K4" s="8"/>
      <c r="L4" s="8"/>
      <c r="M4" s="8"/>
      <c r="N4" s="8"/>
      <c r="O4" s="8"/>
      <c r="P4" s="8"/>
      <c r="Q4" s="8"/>
      <c r="R4" s="8"/>
      <c r="S4" s="8"/>
      <c r="T4" s="8"/>
    </row>
    <row r="5" spans="1:20" ht="29.25" customHeight="1" x14ac:dyDescent="0.15">
      <c r="A5" s="8"/>
      <c r="B5" s="10"/>
      <c r="C5" s="5"/>
      <c r="D5" s="8"/>
      <c r="E5" s="8"/>
      <c r="F5" s="8"/>
      <c r="G5" s="8"/>
      <c r="H5" s="8"/>
      <c r="I5" s="8"/>
      <c r="J5" s="8"/>
      <c r="K5" s="8"/>
      <c r="L5" s="8"/>
      <c r="M5" s="8"/>
      <c r="N5" s="8"/>
      <c r="O5" s="8"/>
      <c r="P5" s="8"/>
      <c r="Q5" s="8"/>
      <c r="R5" s="8"/>
      <c r="S5" s="8"/>
      <c r="T5" s="8"/>
    </row>
    <row r="6" spans="1:20" ht="29.25" customHeight="1" x14ac:dyDescent="0.15">
      <c r="A6" s="9"/>
      <c r="B6" s="10"/>
      <c r="C6" s="5"/>
      <c r="D6" s="8"/>
      <c r="E6" s="8"/>
      <c r="F6" s="8"/>
      <c r="G6" s="8"/>
      <c r="H6" s="8"/>
      <c r="I6" s="8"/>
      <c r="J6" s="8"/>
      <c r="K6" s="8"/>
      <c r="L6" s="8"/>
      <c r="M6" s="8"/>
      <c r="N6" s="8"/>
      <c r="O6" s="8"/>
      <c r="P6" s="8"/>
      <c r="Q6" s="8"/>
      <c r="R6" s="8"/>
      <c r="S6" s="8"/>
      <c r="T6" s="8"/>
    </row>
    <row r="7" spans="1:20" ht="29.25" customHeight="1" x14ac:dyDescent="0.15">
      <c r="A7" s="9"/>
      <c r="B7" s="10"/>
      <c r="C7" s="5"/>
      <c r="D7" s="8"/>
      <c r="E7" s="8"/>
      <c r="F7" s="8"/>
      <c r="G7" s="8"/>
      <c r="H7" s="8"/>
      <c r="I7" s="8"/>
      <c r="J7" s="8"/>
      <c r="K7" s="8"/>
      <c r="L7" s="8"/>
      <c r="M7" s="8"/>
      <c r="N7" s="8"/>
      <c r="O7" s="8"/>
      <c r="P7" s="8"/>
      <c r="Q7" s="8"/>
      <c r="R7" s="8"/>
      <c r="S7" s="8"/>
      <c r="T7" s="8"/>
    </row>
    <row r="8" spans="1:20" ht="34.5" customHeight="1" x14ac:dyDescent="0.15">
      <c r="A8" s="8"/>
      <c r="B8" s="317" t="s">
        <v>112</v>
      </c>
      <c r="C8" s="317"/>
      <c r="D8" s="317"/>
      <c r="E8" s="317"/>
      <c r="F8" s="317"/>
      <c r="G8" s="317"/>
      <c r="H8" s="317"/>
      <c r="I8" s="317"/>
      <c r="J8" s="317"/>
      <c r="K8" s="317"/>
      <c r="L8" s="317"/>
      <c r="M8" s="317"/>
      <c r="N8" s="317"/>
      <c r="O8" s="317"/>
      <c r="P8" s="317"/>
      <c r="Q8" s="317"/>
      <c r="R8" s="11"/>
      <c r="S8" s="12"/>
      <c r="T8" s="12"/>
    </row>
    <row r="9" spans="1:20" ht="43.5" customHeight="1" x14ac:dyDescent="0.15">
      <c r="A9" s="8"/>
      <c r="B9" s="332" t="s">
        <v>113</v>
      </c>
      <c r="C9" s="332"/>
      <c r="D9" s="332"/>
      <c r="E9" s="332"/>
      <c r="F9" s="332"/>
      <c r="G9" s="332"/>
      <c r="H9" s="332"/>
      <c r="I9" s="332"/>
      <c r="J9" s="332"/>
      <c r="K9" s="332"/>
      <c r="L9" s="332"/>
      <c r="M9" s="332"/>
      <c r="N9" s="332"/>
      <c r="O9" s="332"/>
      <c r="P9" s="332"/>
      <c r="Q9" s="332"/>
      <c r="R9" s="8"/>
      <c r="S9" s="8"/>
      <c r="T9" s="8"/>
    </row>
    <row r="10" spans="1:20" ht="43.5" customHeight="1" x14ac:dyDescent="0.15">
      <c r="A10" s="8"/>
      <c r="B10" s="333" t="s">
        <v>532</v>
      </c>
      <c r="C10" s="332"/>
      <c r="D10" s="332"/>
      <c r="E10" s="332"/>
      <c r="F10" s="332"/>
      <c r="G10" s="332"/>
      <c r="H10" s="332"/>
      <c r="I10" s="332"/>
      <c r="J10" s="332"/>
      <c r="K10" s="332"/>
      <c r="L10" s="332"/>
      <c r="M10" s="332"/>
      <c r="N10" s="332"/>
      <c r="O10" s="332"/>
      <c r="P10" s="332"/>
      <c r="Q10" s="332"/>
      <c r="R10" s="332"/>
      <c r="S10" s="332"/>
      <c r="T10" s="332"/>
    </row>
    <row r="11" spans="1:20" ht="34.5" customHeight="1" x14ac:dyDescent="0.15">
      <c r="A11" s="8"/>
      <c r="B11" s="81"/>
      <c r="C11" s="5"/>
      <c r="D11" s="11"/>
      <c r="E11" s="11"/>
      <c r="F11" s="11"/>
      <c r="G11" s="11"/>
      <c r="H11" s="11"/>
      <c r="I11" s="11"/>
      <c r="J11" s="11"/>
      <c r="K11" s="11"/>
      <c r="L11" s="11"/>
      <c r="M11" s="11"/>
      <c r="N11" s="11"/>
      <c r="O11" s="11"/>
      <c r="P11" s="11"/>
      <c r="Q11" s="11"/>
      <c r="R11" s="11"/>
      <c r="S11" s="12"/>
      <c r="T11" s="12"/>
    </row>
    <row r="12" spans="1:20" ht="34.5" customHeight="1" x14ac:dyDescent="0.15">
      <c r="A12" s="8"/>
      <c r="B12" s="81"/>
      <c r="C12" s="5"/>
      <c r="D12" s="11"/>
      <c r="E12" s="11"/>
      <c r="F12" s="11"/>
      <c r="G12" s="11"/>
      <c r="H12" s="11"/>
      <c r="I12" s="11"/>
      <c r="J12" s="11"/>
      <c r="K12" s="11"/>
      <c r="L12" s="11"/>
      <c r="M12" s="11"/>
      <c r="N12" s="11"/>
      <c r="O12" s="11"/>
      <c r="P12" s="11"/>
      <c r="Q12" s="11"/>
      <c r="R12" s="11"/>
      <c r="S12" s="12"/>
      <c r="T12" s="12"/>
    </row>
    <row r="13" spans="1:20" ht="34.5" customHeight="1" x14ac:dyDescent="0.15">
      <c r="A13" s="8"/>
      <c r="B13" s="81"/>
      <c r="C13" s="5"/>
      <c r="D13" s="11"/>
      <c r="E13" s="11"/>
      <c r="F13" s="11"/>
      <c r="G13" s="11"/>
      <c r="H13" s="11"/>
      <c r="I13" s="11"/>
      <c r="J13" s="11"/>
      <c r="K13" s="11"/>
      <c r="L13" s="11"/>
      <c r="M13" s="11"/>
      <c r="N13" s="11"/>
      <c r="O13" s="11"/>
      <c r="P13" s="11"/>
      <c r="Q13" s="11"/>
      <c r="R13" s="11"/>
      <c r="S13" s="12"/>
      <c r="T13" s="12"/>
    </row>
    <row r="14" spans="1:20" ht="43.5" customHeight="1" x14ac:dyDescent="0.15">
      <c r="A14" s="8"/>
      <c r="B14" s="332"/>
      <c r="C14" s="332"/>
      <c r="D14" s="332"/>
      <c r="E14" s="332"/>
      <c r="F14" s="332"/>
      <c r="G14" s="332"/>
      <c r="H14" s="332"/>
      <c r="I14" s="332"/>
      <c r="J14" s="332"/>
      <c r="K14" s="332"/>
      <c r="L14" s="332"/>
      <c r="M14" s="332"/>
      <c r="N14" s="332"/>
      <c r="O14" s="332"/>
      <c r="P14" s="332"/>
      <c r="Q14" s="13"/>
      <c r="R14" s="8"/>
      <c r="S14" s="8"/>
      <c r="T14" s="8"/>
    </row>
    <row r="15" spans="1:20" ht="34.5" customHeight="1" x14ac:dyDescent="0.15">
      <c r="A15" s="8"/>
      <c r="B15" s="81"/>
      <c r="C15" s="5"/>
      <c r="D15" s="11"/>
      <c r="E15" s="11"/>
      <c r="F15" s="11"/>
      <c r="G15" s="11"/>
      <c r="H15" s="11"/>
      <c r="I15" s="11"/>
      <c r="J15" s="11"/>
      <c r="K15" s="11"/>
      <c r="L15" s="11"/>
      <c r="M15" s="11"/>
      <c r="N15" s="11"/>
      <c r="O15" s="11"/>
      <c r="P15" s="11"/>
      <c r="Q15" s="11"/>
      <c r="R15" s="11"/>
      <c r="S15" s="12"/>
      <c r="T15" s="12"/>
    </row>
  </sheetData>
  <mergeCells count="5">
    <mergeCell ref="S1:T1"/>
    <mergeCell ref="B8:Q8"/>
    <mergeCell ref="B9:Q9"/>
    <mergeCell ref="B10:T10"/>
    <mergeCell ref="B14:P14"/>
  </mergeCells>
  <phoneticPr fontId="3"/>
  <printOptions horizontalCentered="1" verticalCentered="1"/>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F0FE2-930B-47D3-803C-1939900F1B6E}">
  <sheetPr codeName="Sheet17"/>
  <dimension ref="A1:H30"/>
  <sheetViews>
    <sheetView topLeftCell="D1" zoomScaleNormal="100" workbookViewId="0">
      <selection activeCell="G4" sqref="G4"/>
    </sheetView>
  </sheetViews>
  <sheetFormatPr defaultColWidth="50.5703125" defaultRowHeight="30.75" customHeight="1" x14ac:dyDescent="0.15"/>
  <cols>
    <col min="1" max="1" width="39.140625" customWidth="1"/>
    <col min="2" max="2" width="20.85546875" customWidth="1"/>
    <col min="4" max="5" width="5" customWidth="1"/>
  </cols>
  <sheetData>
    <row r="1" spans="1:8" ht="30.75" customHeight="1" x14ac:dyDescent="0.15">
      <c r="A1" s="293" t="s">
        <v>182</v>
      </c>
      <c r="B1" s="294" t="s">
        <v>183</v>
      </c>
      <c r="C1" s="8"/>
      <c r="D1" s="8"/>
      <c r="E1" s="8"/>
      <c r="F1" s="295" t="s">
        <v>184</v>
      </c>
      <c r="G1" s="295" t="s">
        <v>185</v>
      </c>
      <c r="H1" s="8"/>
    </row>
    <row r="2" spans="1:8" ht="30.75" customHeight="1" x14ac:dyDescent="0.15">
      <c r="A2" s="45" t="s">
        <v>132</v>
      </c>
      <c r="B2" s="46" t="s">
        <v>131</v>
      </c>
      <c r="C2" s="8"/>
      <c r="D2" s="8"/>
      <c r="E2" s="8"/>
      <c r="F2" s="296" t="s">
        <v>186</v>
      </c>
      <c r="G2" s="296" t="s">
        <v>202</v>
      </c>
      <c r="H2" s="8" t="s">
        <v>311</v>
      </c>
    </row>
    <row r="3" spans="1:8" ht="30.75" customHeight="1" x14ac:dyDescent="0.15">
      <c r="A3" s="45" t="s">
        <v>206</v>
      </c>
      <c r="B3" s="46" t="s">
        <v>137</v>
      </c>
      <c r="C3" s="8"/>
      <c r="D3" s="8"/>
      <c r="E3" s="8"/>
      <c r="F3" s="297" t="s">
        <v>187</v>
      </c>
      <c r="G3" s="297" t="s">
        <v>203</v>
      </c>
      <c r="H3" s="8"/>
    </row>
    <row r="4" spans="1:8" ht="30.75" customHeight="1" x14ac:dyDescent="0.15">
      <c r="A4" s="45" t="s">
        <v>140</v>
      </c>
      <c r="B4" s="46" t="s">
        <v>139</v>
      </c>
      <c r="C4" s="8"/>
      <c r="D4" s="8"/>
      <c r="E4" s="8"/>
      <c r="F4" s="297" t="s">
        <v>1063</v>
      </c>
      <c r="G4" s="297" t="s">
        <v>188</v>
      </c>
      <c r="H4" s="8"/>
    </row>
    <row r="5" spans="1:8" ht="30.75" customHeight="1" x14ac:dyDescent="0.15">
      <c r="A5" s="45" t="s">
        <v>142</v>
      </c>
      <c r="B5" s="46" t="s">
        <v>141</v>
      </c>
      <c r="C5" s="8"/>
      <c r="D5" s="8"/>
      <c r="E5" s="8"/>
      <c r="F5" s="297" t="s">
        <v>312</v>
      </c>
      <c r="G5" s="297" t="s">
        <v>189</v>
      </c>
      <c r="H5" s="8"/>
    </row>
    <row r="6" spans="1:8" ht="30.75" customHeight="1" x14ac:dyDescent="0.15">
      <c r="A6" s="45" t="s">
        <v>145</v>
      </c>
      <c r="B6" s="46" t="s">
        <v>144</v>
      </c>
      <c r="C6" s="8"/>
      <c r="D6" s="8"/>
      <c r="E6" s="8"/>
      <c r="F6" s="297" t="s">
        <v>1063</v>
      </c>
      <c r="G6" s="297" t="s">
        <v>204</v>
      </c>
      <c r="H6" s="8"/>
    </row>
    <row r="7" spans="1:8" ht="30.75" customHeight="1" x14ac:dyDescent="0.15">
      <c r="A7" s="47" t="s">
        <v>147</v>
      </c>
      <c r="B7" s="46" t="s">
        <v>146</v>
      </c>
      <c r="C7" s="8"/>
      <c r="D7" s="8"/>
      <c r="E7" s="8"/>
      <c r="F7" s="8"/>
      <c r="G7" s="8"/>
      <c r="H7" s="8"/>
    </row>
    <row r="8" spans="1:8" ht="30.75" customHeight="1" x14ac:dyDescent="0.15">
      <c r="A8" s="45" t="s">
        <v>149</v>
      </c>
      <c r="B8" s="46" t="s">
        <v>148</v>
      </c>
      <c r="C8" s="8"/>
      <c r="D8" s="8"/>
      <c r="E8" s="8"/>
      <c r="F8" s="8"/>
      <c r="G8" s="8"/>
      <c r="H8" s="8"/>
    </row>
    <row r="9" spans="1:8" ht="30.75" customHeight="1" x14ac:dyDescent="0.15">
      <c r="A9" s="45" t="s">
        <v>151</v>
      </c>
      <c r="B9" s="46" t="s">
        <v>150</v>
      </c>
      <c r="C9" s="8"/>
      <c r="D9" s="8"/>
      <c r="E9" s="8"/>
      <c r="F9" s="8"/>
      <c r="G9" s="8"/>
      <c r="H9" s="8"/>
    </row>
    <row r="10" spans="1:8" ht="30.75" customHeight="1" x14ac:dyDescent="0.15">
      <c r="A10" s="45" t="s">
        <v>262</v>
      </c>
      <c r="B10" s="46" t="s">
        <v>152</v>
      </c>
      <c r="C10" s="8"/>
      <c r="D10" s="8"/>
      <c r="E10" s="8"/>
      <c r="F10" s="8"/>
      <c r="G10" s="8"/>
      <c r="H10" s="8"/>
    </row>
    <row r="11" spans="1:8" ht="30.75" customHeight="1" x14ac:dyDescent="0.15">
      <c r="A11" s="45" t="s">
        <v>156</v>
      </c>
      <c r="B11" s="46" t="s">
        <v>155</v>
      </c>
      <c r="C11" s="8"/>
      <c r="D11" s="8"/>
      <c r="E11" s="8"/>
      <c r="F11" s="8"/>
      <c r="G11" s="8"/>
      <c r="H11" s="8"/>
    </row>
    <row r="12" spans="1:8" ht="30.75" customHeight="1" x14ac:dyDescent="0.15">
      <c r="A12" s="45" t="s">
        <v>158</v>
      </c>
      <c r="B12" s="46" t="s">
        <v>157</v>
      </c>
      <c r="C12" s="8"/>
      <c r="D12" s="8"/>
      <c r="E12" s="8"/>
      <c r="F12" s="8"/>
      <c r="G12" s="8"/>
      <c r="H12" s="8"/>
    </row>
    <row r="13" spans="1:8" ht="30.75" customHeight="1" x14ac:dyDescent="0.15">
      <c r="A13" s="47" t="s">
        <v>162</v>
      </c>
      <c r="B13" s="46" t="s">
        <v>266</v>
      </c>
      <c r="C13" s="8"/>
      <c r="D13" s="8"/>
      <c r="E13" s="8"/>
      <c r="F13" s="8"/>
      <c r="G13" s="8"/>
      <c r="H13" s="8"/>
    </row>
    <row r="14" spans="1:8" ht="30.75" customHeight="1" x14ac:dyDescent="0.15">
      <c r="A14" s="47" t="s">
        <v>164</v>
      </c>
      <c r="B14" s="46" t="s">
        <v>163</v>
      </c>
      <c r="C14" s="8"/>
      <c r="D14" s="8"/>
      <c r="E14" s="8"/>
      <c r="F14" s="8"/>
      <c r="G14" s="8"/>
      <c r="H14" s="8"/>
    </row>
    <row r="15" spans="1:8" ht="30.75" customHeight="1" x14ac:dyDescent="0.15">
      <c r="A15" s="48" t="s">
        <v>166</v>
      </c>
      <c r="B15" s="46" t="s">
        <v>165</v>
      </c>
      <c r="C15" s="8"/>
      <c r="D15" s="8"/>
      <c r="E15" s="8"/>
      <c r="F15" s="8"/>
      <c r="G15" s="8"/>
      <c r="H15" s="8"/>
    </row>
    <row r="16" spans="1:8" ht="30.75" customHeight="1" x14ac:dyDescent="0.15">
      <c r="A16" s="48" t="s">
        <v>169</v>
      </c>
      <c r="B16" s="46" t="s">
        <v>168</v>
      </c>
      <c r="C16" s="8"/>
      <c r="D16" s="8"/>
      <c r="E16" s="8"/>
      <c r="F16" s="8"/>
      <c r="G16" s="8"/>
      <c r="H16" s="8"/>
    </row>
    <row r="17" spans="1:8" ht="30.75" customHeight="1" x14ac:dyDescent="0.15">
      <c r="A17" s="48" t="s">
        <v>171</v>
      </c>
      <c r="B17" s="46" t="s">
        <v>170</v>
      </c>
      <c r="C17" s="8"/>
      <c r="D17" s="8"/>
      <c r="E17" s="8"/>
      <c r="F17" s="8"/>
      <c r="G17" s="8"/>
      <c r="H17" s="8"/>
    </row>
    <row r="18" spans="1:8" ht="30.75" customHeight="1" x14ac:dyDescent="0.15">
      <c r="A18" s="48" t="s">
        <v>172</v>
      </c>
      <c r="B18" s="46">
        <v>29</v>
      </c>
      <c r="C18" s="8"/>
      <c r="D18" s="8"/>
      <c r="E18" s="8"/>
      <c r="F18" s="8"/>
      <c r="G18" s="8"/>
      <c r="H18" s="8"/>
    </row>
    <row r="19" spans="1:8" ht="30.75" customHeight="1" x14ac:dyDescent="0.15">
      <c r="A19" s="48" t="s">
        <v>173</v>
      </c>
      <c r="B19" s="46">
        <v>30</v>
      </c>
      <c r="C19" s="8"/>
      <c r="D19" s="8"/>
      <c r="E19" s="8"/>
      <c r="F19" s="8"/>
      <c r="G19" s="8"/>
      <c r="H19" s="8"/>
    </row>
    <row r="20" spans="1:8" ht="30.75" customHeight="1" x14ac:dyDescent="0.15">
      <c r="A20" s="48" t="s">
        <v>175</v>
      </c>
      <c r="B20" s="46">
        <v>31</v>
      </c>
      <c r="C20" s="8"/>
      <c r="D20" s="8"/>
      <c r="E20" s="8"/>
      <c r="F20" s="8"/>
      <c r="G20" s="8"/>
      <c r="H20" s="8"/>
    </row>
    <row r="21" spans="1:8" ht="30.75" customHeight="1" x14ac:dyDescent="0.15">
      <c r="A21" s="48" t="s">
        <v>177</v>
      </c>
      <c r="B21" s="46">
        <v>32</v>
      </c>
      <c r="C21" s="8"/>
      <c r="D21" s="8"/>
      <c r="E21" s="8"/>
      <c r="F21" s="8"/>
      <c r="G21" s="8"/>
      <c r="H21" s="8"/>
    </row>
    <row r="22" spans="1:8" ht="30.75" customHeight="1" x14ac:dyDescent="0.15">
      <c r="A22" s="48" t="s">
        <v>179</v>
      </c>
      <c r="B22" s="46">
        <v>33</v>
      </c>
      <c r="C22" s="8"/>
      <c r="D22" s="8"/>
      <c r="E22" s="8"/>
      <c r="F22" s="8"/>
      <c r="G22" s="8"/>
      <c r="H22" s="8"/>
    </row>
    <row r="23" spans="1:8" ht="30.75" customHeight="1" x14ac:dyDescent="0.15">
      <c r="A23" s="48" t="s">
        <v>181</v>
      </c>
      <c r="B23" s="46">
        <v>34</v>
      </c>
      <c r="C23" s="8"/>
      <c r="D23" s="8"/>
      <c r="E23" s="8"/>
      <c r="F23" s="8"/>
      <c r="G23" s="8"/>
      <c r="H23" s="8"/>
    </row>
    <row r="24" spans="1:8" ht="30.75" customHeight="1" x14ac:dyDescent="0.15">
      <c r="A24" s="48" t="s">
        <v>365</v>
      </c>
      <c r="B24" s="46" t="s">
        <v>1064</v>
      </c>
      <c r="C24" s="8" t="s">
        <v>265</v>
      </c>
      <c r="D24" s="8"/>
      <c r="E24" s="8"/>
      <c r="F24" s="8"/>
      <c r="G24" s="8"/>
      <c r="H24" s="8"/>
    </row>
    <row r="25" spans="1:8" ht="30.75" customHeight="1" x14ac:dyDescent="0.15">
      <c r="A25" s="48" t="s">
        <v>366</v>
      </c>
      <c r="B25" s="46">
        <v>50</v>
      </c>
      <c r="C25" s="8"/>
      <c r="D25" s="8"/>
      <c r="E25" s="8"/>
      <c r="F25" s="8"/>
      <c r="G25" s="8"/>
      <c r="H25" s="8"/>
    </row>
    <row r="26" spans="1:8" ht="30.75" customHeight="1" x14ac:dyDescent="0.15">
      <c r="A26" s="48"/>
      <c r="B26" s="46"/>
      <c r="C26" s="8"/>
      <c r="D26" s="8"/>
      <c r="E26" s="8"/>
      <c r="F26" s="8"/>
      <c r="G26" s="8"/>
      <c r="H26" s="8"/>
    </row>
    <row r="27" spans="1:8" ht="30.75" customHeight="1" x14ac:dyDescent="0.15">
      <c r="A27" s="48"/>
      <c r="B27" s="46"/>
      <c r="C27" s="8"/>
      <c r="D27" s="8"/>
      <c r="E27" s="8"/>
      <c r="F27" s="8"/>
      <c r="G27" s="8"/>
      <c r="H27" s="8"/>
    </row>
    <row r="28" spans="1:8" ht="30.75" customHeight="1" x14ac:dyDescent="0.15">
      <c r="A28" s="48"/>
      <c r="B28" s="46"/>
      <c r="C28" s="8"/>
      <c r="D28" s="8"/>
      <c r="E28" s="8"/>
      <c r="F28" s="8"/>
      <c r="G28" s="8"/>
      <c r="H28" s="8"/>
    </row>
    <row r="29" spans="1:8" ht="30.75" customHeight="1" x14ac:dyDescent="0.15">
      <c r="A29" s="48"/>
      <c r="B29" s="46"/>
      <c r="C29" s="8"/>
      <c r="D29" s="8"/>
      <c r="E29" s="8"/>
      <c r="F29" s="8"/>
      <c r="G29" s="8"/>
      <c r="H29" s="8"/>
    </row>
    <row r="30" spans="1:8" ht="30.75" customHeight="1" x14ac:dyDescent="0.15">
      <c r="A30" s="48"/>
      <c r="B30" s="46"/>
      <c r="C30" s="8"/>
      <c r="D30" s="8"/>
      <c r="E30" s="8"/>
      <c r="F30" s="8"/>
      <c r="G30" s="8"/>
      <c r="H30" s="8"/>
    </row>
  </sheetData>
  <phoneticPr fontId="6"/>
  <conditionalFormatting sqref="A26:A30">
    <cfRule type="expression" dxfId="643" priority="34">
      <formula>MOD(ROW(),2)=1</formula>
    </cfRule>
  </conditionalFormatting>
  <conditionalFormatting sqref="B26:B30">
    <cfRule type="expression" dxfId="642" priority="33">
      <formula>MOD(ROW(),2)=1</formula>
    </cfRule>
  </conditionalFormatting>
  <conditionalFormatting sqref="A2:B2">
    <cfRule type="expression" dxfId="641" priority="32">
      <formula>MOD(ROW(),2)=1</formula>
    </cfRule>
  </conditionalFormatting>
  <conditionalFormatting sqref="A3:B3">
    <cfRule type="expression" dxfId="640" priority="31">
      <formula>MOD(ROW(),2)=1</formula>
    </cfRule>
  </conditionalFormatting>
  <conditionalFormatting sqref="A4:B4">
    <cfRule type="expression" dxfId="639" priority="30">
      <formula>MOD(ROW(),2)=1</formula>
    </cfRule>
  </conditionalFormatting>
  <conditionalFormatting sqref="A5:B5">
    <cfRule type="expression" dxfId="638" priority="29">
      <formula>MOD(ROW(),2)=1</formula>
    </cfRule>
  </conditionalFormatting>
  <conditionalFormatting sqref="A6:B6">
    <cfRule type="expression" dxfId="637" priority="28">
      <formula>MOD(ROW(),2)=1</formula>
    </cfRule>
  </conditionalFormatting>
  <conditionalFormatting sqref="A7:B7">
    <cfRule type="expression" dxfId="636" priority="27">
      <formula>MOD(ROW(),2)=1</formula>
    </cfRule>
  </conditionalFormatting>
  <conditionalFormatting sqref="A8:B8">
    <cfRule type="expression" dxfId="635" priority="26">
      <formula>MOD(ROW(),2)=1</formula>
    </cfRule>
  </conditionalFormatting>
  <conditionalFormatting sqref="A9:B9">
    <cfRule type="expression" dxfId="634" priority="25">
      <formula>MOD(ROW(),2)=1</formula>
    </cfRule>
  </conditionalFormatting>
  <conditionalFormatting sqref="A10:B10">
    <cfRule type="expression" dxfId="633" priority="24">
      <formula>MOD(ROW(),2)=1</formula>
    </cfRule>
  </conditionalFormatting>
  <conditionalFormatting sqref="A11:B11">
    <cfRule type="expression" dxfId="632" priority="23">
      <formula>MOD(ROW(),2)=1</formula>
    </cfRule>
  </conditionalFormatting>
  <conditionalFormatting sqref="A12:B12">
    <cfRule type="expression" dxfId="631" priority="22">
      <formula>MOD(ROW(),2)=1</formula>
    </cfRule>
  </conditionalFormatting>
  <conditionalFormatting sqref="A13:B13">
    <cfRule type="expression" dxfId="630" priority="21">
      <formula>MOD(ROW(),2)=1</formula>
    </cfRule>
  </conditionalFormatting>
  <conditionalFormatting sqref="A14:B14">
    <cfRule type="expression" dxfId="629" priority="20">
      <formula>MOD(ROW(),2)=1</formula>
    </cfRule>
  </conditionalFormatting>
  <conditionalFormatting sqref="A15:B15">
    <cfRule type="expression" dxfId="628" priority="19">
      <formula>MOD(ROW(),2)=1</formula>
    </cfRule>
  </conditionalFormatting>
  <conditionalFormatting sqref="A16:B16">
    <cfRule type="expression" dxfId="627" priority="18">
      <formula>MOD(ROW(),2)=1</formula>
    </cfRule>
  </conditionalFormatting>
  <conditionalFormatting sqref="A17:B17">
    <cfRule type="expression" dxfId="626" priority="17">
      <formula>MOD(ROW(),2)=1</formula>
    </cfRule>
  </conditionalFormatting>
  <conditionalFormatting sqref="A18">
    <cfRule type="expression" dxfId="625" priority="16">
      <formula>MOD(ROW(),2)=1</formula>
    </cfRule>
  </conditionalFormatting>
  <conditionalFormatting sqref="B18">
    <cfRule type="expression" dxfId="624" priority="15">
      <formula>MOD(ROW(),2)=1</formula>
    </cfRule>
  </conditionalFormatting>
  <conditionalFormatting sqref="A19">
    <cfRule type="expression" dxfId="623" priority="14">
      <formula>MOD(ROW(),2)=1</formula>
    </cfRule>
  </conditionalFormatting>
  <conditionalFormatting sqref="B19">
    <cfRule type="expression" dxfId="622" priority="13">
      <formula>MOD(ROW(),2)=1</formula>
    </cfRule>
  </conditionalFormatting>
  <conditionalFormatting sqref="A20">
    <cfRule type="expression" dxfId="621" priority="12">
      <formula>MOD(ROW(),2)=1</formula>
    </cfRule>
  </conditionalFormatting>
  <conditionalFormatting sqref="B20">
    <cfRule type="expression" dxfId="620" priority="11">
      <formula>MOD(ROW(),2)=1</formula>
    </cfRule>
  </conditionalFormatting>
  <conditionalFormatting sqref="A21">
    <cfRule type="expression" dxfId="619" priority="10">
      <formula>MOD(ROW(),2)=1</formula>
    </cfRule>
  </conditionalFormatting>
  <conditionalFormatting sqref="B21">
    <cfRule type="expression" dxfId="618" priority="9">
      <formula>MOD(ROW(),2)=1</formula>
    </cfRule>
  </conditionalFormatting>
  <conditionalFormatting sqref="A22">
    <cfRule type="expression" dxfId="617" priority="8">
      <formula>MOD(ROW(),2)=1</formula>
    </cfRule>
  </conditionalFormatting>
  <conditionalFormatting sqref="B22">
    <cfRule type="expression" dxfId="616" priority="7">
      <formula>MOD(ROW(),2)=1</formula>
    </cfRule>
  </conditionalFormatting>
  <conditionalFormatting sqref="A23">
    <cfRule type="expression" dxfId="615" priority="6">
      <formula>MOD(ROW(),2)=1</formula>
    </cfRule>
  </conditionalFormatting>
  <conditionalFormatting sqref="B23">
    <cfRule type="expression" dxfId="614" priority="5">
      <formula>MOD(ROW(),2)=1</formula>
    </cfRule>
  </conditionalFormatting>
  <conditionalFormatting sqref="A24">
    <cfRule type="expression" dxfId="613" priority="4">
      <formula>MOD(ROW(),2)=1</formula>
    </cfRule>
  </conditionalFormatting>
  <conditionalFormatting sqref="B24">
    <cfRule type="expression" dxfId="612" priority="3">
      <formula>MOD(ROW(),2)=1</formula>
    </cfRule>
  </conditionalFormatting>
  <conditionalFormatting sqref="A25">
    <cfRule type="expression" dxfId="611" priority="2">
      <formula>MOD(ROW(),2)=1</formula>
    </cfRule>
  </conditionalFormatting>
  <conditionalFormatting sqref="B25">
    <cfRule type="expression" dxfId="610" priority="1">
      <formula>MOD(ROW(),2)=1</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17C89-8E98-4EB4-9AA8-FEA49B9BA03C}">
  <sheetPr codeName="Sheet2"/>
  <dimension ref="A1:I83"/>
  <sheetViews>
    <sheetView topLeftCell="A6" zoomScale="85" zoomScaleNormal="85" workbookViewId="0">
      <selection sqref="A1:I83"/>
    </sheetView>
  </sheetViews>
  <sheetFormatPr defaultColWidth="9.140625" defaultRowHeight="12" x14ac:dyDescent="0.15"/>
  <cols>
    <col min="1" max="1" width="55.42578125" customWidth="1"/>
    <col min="2" max="2" width="19" customWidth="1"/>
    <col min="3" max="3" width="54.85546875" customWidth="1"/>
    <col min="4" max="4" width="47.85546875" customWidth="1"/>
    <col min="5" max="5" width="42.140625" bestFit="1" customWidth="1"/>
    <col min="6" max="6" width="6" hidden="1" customWidth="1"/>
    <col min="7" max="7" width="19.42578125" customWidth="1"/>
    <col min="8" max="8" width="0" hidden="1" customWidth="1"/>
    <col min="9" max="9" width="18.42578125" customWidth="1"/>
  </cols>
  <sheetData>
    <row r="1" spans="1:9" ht="24.75" customHeight="1" x14ac:dyDescent="0.15">
      <c r="A1" s="301" t="s">
        <v>190</v>
      </c>
      <c r="B1" s="301" t="s">
        <v>191</v>
      </c>
      <c r="C1" s="301" t="s">
        <v>192</v>
      </c>
      <c r="D1" s="301" t="s">
        <v>263</v>
      </c>
      <c r="E1" s="301" t="s">
        <v>264</v>
      </c>
      <c r="F1" s="302"/>
      <c r="G1" s="301" t="s">
        <v>193</v>
      </c>
      <c r="H1" s="302"/>
      <c r="I1" s="301" t="s">
        <v>194</v>
      </c>
    </row>
    <row r="2" spans="1:9" ht="24.75" customHeight="1" x14ac:dyDescent="0.15">
      <c r="A2" s="303" t="s">
        <v>232</v>
      </c>
      <c r="B2" s="303" t="s">
        <v>239</v>
      </c>
      <c r="C2" s="303" t="s">
        <v>240</v>
      </c>
      <c r="D2" s="304" t="s">
        <v>241</v>
      </c>
      <c r="E2" s="304" t="s">
        <v>244</v>
      </c>
      <c r="F2" s="303"/>
      <c r="G2" s="303" t="s">
        <v>195</v>
      </c>
      <c r="H2" s="303"/>
      <c r="I2" s="303" t="s">
        <v>196</v>
      </c>
    </row>
    <row r="3" spans="1:9" ht="24.75" customHeight="1" x14ac:dyDescent="0.15">
      <c r="A3" s="303" t="s">
        <v>236</v>
      </c>
      <c r="B3" s="303" t="s">
        <v>239</v>
      </c>
      <c r="C3" s="303" t="s">
        <v>240</v>
      </c>
      <c r="D3" s="304" t="s">
        <v>241</v>
      </c>
      <c r="E3" s="303"/>
      <c r="F3" s="303"/>
      <c r="G3" s="303" t="s">
        <v>197</v>
      </c>
      <c r="H3" s="303"/>
      <c r="I3" s="303" t="s">
        <v>198</v>
      </c>
    </row>
    <row r="4" spans="1:9" ht="24.75" customHeight="1" x14ac:dyDescent="0.15">
      <c r="A4" s="303" t="s">
        <v>242</v>
      </c>
      <c r="B4" s="303" t="s">
        <v>239</v>
      </c>
      <c r="C4" s="303" t="s">
        <v>240</v>
      </c>
      <c r="D4" s="304" t="s">
        <v>241</v>
      </c>
      <c r="E4" s="303" t="s">
        <v>310</v>
      </c>
      <c r="F4" s="303"/>
      <c r="G4" s="303" t="s">
        <v>199</v>
      </c>
      <c r="H4" s="303"/>
      <c r="I4" s="303" t="s">
        <v>200</v>
      </c>
    </row>
    <row r="5" spans="1:9" ht="24.75" customHeight="1" x14ac:dyDescent="0.15">
      <c r="A5" s="303" t="s">
        <v>245</v>
      </c>
      <c r="B5" s="303" t="s">
        <v>233</v>
      </c>
      <c r="C5" s="303" t="s">
        <v>234</v>
      </c>
      <c r="D5" s="304" t="s">
        <v>235</v>
      </c>
      <c r="E5" s="303"/>
      <c r="F5" s="303"/>
      <c r="G5" s="303" t="s">
        <v>201</v>
      </c>
      <c r="H5" s="303"/>
      <c r="I5" s="303"/>
    </row>
    <row r="6" spans="1:9" ht="24.75" customHeight="1" x14ac:dyDescent="0.15">
      <c r="A6" s="303" t="s">
        <v>258</v>
      </c>
      <c r="B6" s="303" t="s">
        <v>259</v>
      </c>
      <c r="C6" s="305" t="s">
        <v>261</v>
      </c>
      <c r="D6" s="304" t="s">
        <v>260</v>
      </c>
      <c r="E6" s="304" t="s">
        <v>258</v>
      </c>
      <c r="F6" s="303"/>
      <c r="G6" s="303"/>
      <c r="H6" s="303"/>
      <c r="I6" s="303"/>
    </row>
    <row r="7" spans="1:9" ht="24.75" customHeight="1" x14ac:dyDescent="0.15">
      <c r="A7" s="303" t="s">
        <v>317</v>
      </c>
      <c r="B7" s="303" t="s">
        <v>318</v>
      </c>
      <c r="C7" s="303" t="s">
        <v>319</v>
      </c>
      <c r="D7" s="303" t="s">
        <v>322</v>
      </c>
      <c r="E7" s="303" t="s">
        <v>320</v>
      </c>
      <c r="F7" s="303"/>
      <c r="G7" s="303"/>
      <c r="H7" s="303"/>
      <c r="I7" s="303"/>
    </row>
    <row r="8" spans="1:9" ht="24.75" customHeight="1" x14ac:dyDescent="0.15">
      <c r="A8" s="303" t="s">
        <v>330</v>
      </c>
      <c r="B8" s="303" t="s">
        <v>327</v>
      </c>
      <c r="C8" s="303" t="s">
        <v>1065</v>
      </c>
      <c r="D8" s="303" t="s">
        <v>329</v>
      </c>
      <c r="E8" s="303" t="s">
        <v>330</v>
      </c>
      <c r="F8" s="303"/>
      <c r="G8" s="303"/>
      <c r="H8" s="303"/>
      <c r="I8" s="303"/>
    </row>
    <row r="9" spans="1:9" ht="24.75" customHeight="1" x14ac:dyDescent="0.15">
      <c r="A9" s="303" t="s">
        <v>335</v>
      </c>
      <c r="B9" s="303" t="s">
        <v>1066</v>
      </c>
      <c r="C9" s="303" t="s">
        <v>1067</v>
      </c>
      <c r="D9" s="303" t="s">
        <v>342</v>
      </c>
      <c r="E9" s="303" t="s">
        <v>1068</v>
      </c>
      <c r="F9" s="303"/>
      <c r="G9" s="303"/>
      <c r="H9" s="303"/>
      <c r="I9" s="303"/>
    </row>
    <row r="10" spans="1:9" ht="24.75" customHeight="1" x14ac:dyDescent="0.15">
      <c r="A10" s="303" t="s">
        <v>1069</v>
      </c>
      <c r="B10" s="303" t="s">
        <v>336</v>
      </c>
      <c r="C10" s="303" t="s">
        <v>1067</v>
      </c>
      <c r="D10" s="303" t="s">
        <v>337</v>
      </c>
      <c r="E10" s="303" t="s">
        <v>338</v>
      </c>
      <c r="F10" s="303"/>
      <c r="G10" s="303"/>
      <c r="H10" s="303"/>
      <c r="I10" s="303"/>
    </row>
    <row r="11" spans="1:9" ht="24.75" customHeight="1" x14ac:dyDescent="0.15">
      <c r="A11" s="303" t="s">
        <v>354</v>
      </c>
      <c r="B11" s="303" t="s">
        <v>642</v>
      </c>
      <c r="C11" s="303" t="s">
        <v>1070</v>
      </c>
      <c r="D11" s="303" t="s">
        <v>1071</v>
      </c>
      <c r="E11" s="303" t="s">
        <v>1072</v>
      </c>
      <c r="F11" s="303"/>
      <c r="G11" s="303"/>
      <c r="H11" s="303"/>
      <c r="I11" s="303"/>
    </row>
    <row r="12" spans="1:9" ht="24.75" customHeight="1" x14ac:dyDescent="0.15">
      <c r="A12" s="303" t="s">
        <v>1073</v>
      </c>
      <c r="B12" s="303" t="s">
        <v>362</v>
      </c>
      <c r="C12" s="303" t="s">
        <v>1074</v>
      </c>
      <c r="D12" s="303" t="s">
        <v>363</v>
      </c>
      <c r="E12" s="303" t="s">
        <v>364</v>
      </c>
      <c r="F12" s="303"/>
      <c r="G12" s="303"/>
      <c r="H12" s="303"/>
      <c r="I12" s="303"/>
    </row>
    <row r="13" spans="1:9" ht="24.75" customHeight="1" x14ac:dyDescent="0.15">
      <c r="A13" s="303" t="s">
        <v>576</v>
      </c>
      <c r="B13" s="303" t="s">
        <v>361</v>
      </c>
      <c r="C13" s="303" t="s">
        <v>577</v>
      </c>
      <c r="D13" s="303" t="s">
        <v>578</v>
      </c>
      <c r="E13" s="303" t="s">
        <v>1075</v>
      </c>
      <c r="F13" s="303"/>
      <c r="G13" s="303"/>
      <c r="H13" s="303"/>
      <c r="I13" s="303"/>
    </row>
    <row r="14" spans="1:9" ht="24.75" customHeight="1" x14ac:dyDescent="0.15">
      <c r="A14" s="303" t="s">
        <v>380</v>
      </c>
      <c r="B14" s="303" t="s">
        <v>381</v>
      </c>
      <c r="C14" s="303" t="s">
        <v>382</v>
      </c>
      <c r="D14" s="303" t="s">
        <v>382</v>
      </c>
      <c r="E14" s="303" t="s">
        <v>383</v>
      </c>
      <c r="F14" s="303"/>
      <c r="G14" s="303"/>
      <c r="H14" s="303"/>
      <c r="I14" s="303"/>
    </row>
    <row r="15" spans="1:9" ht="24.75" customHeight="1" x14ac:dyDescent="0.15">
      <c r="A15" s="303" t="s">
        <v>591</v>
      </c>
      <c r="B15" s="303" t="s">
        <v>592</v>
      </c>
      <c r="C15" s="303" t="s">
        <v>593</v>
      </c>
      <c r="D15" s="303" t="s">
        <v>474</v>
      </c>
      <c r="E15" s="303" t="s">
        <v>594</v>
      </c>
      <c r="F15" s="303"/>
      <c r="G15" s="303"/>
      <c r="H15" s="303"/>
      <c r="I15" s="303"/>
    </row>
    <row r="16" spans="1:9" ht="24.75" customHeight="1" x14ac:dyDescent="0.15">
      <c r="A16" s="303" t="s">
        <v>599</v>
      </c>
      <c r="B16" s="303" t="s">
        <v>842</v>
      </c>
      <c r="C16" s="303" t="s">
        <v>601</v>
      </c>
      <c r="D16" s="303" t="s">
        <v>474</v>
      </c>
      <c r="E16" s="303" t="s">
        <v>844</v>
      </c>
      <c r="F16" s="303"/>
      <c r="G16" s="303"/>
      <c r="H16" s="303"/>
      <c r="I16" s="303"/>
    </row>
    <row r="17" spans="1:9" ht="24.75" customHeight="1" x14ac:dyDescent="0.15">
      <c r="A17" s="303" t="s">
        <v>841</v>
      </c>
      <c r="B17" s="303" t="s">
        <v>600</v>
      </c>
      <c r="C17" s="303" t="s">
        <v>1076</v>
      </c>
      <c r="D17" s="303" t="s">
        <v>602</v>
      </c>
      <c r="E17" s="303" t="s">
        <v>1077</v>
      </c>
      <c r="F17" s="303"/>
      <c r="G17" s="303"/>
      <c r="H17" s="303"/>
      <c r="I17" s="303"/>
    </row>
    <row r="18" spans="1:9" ht="24.75" customHeight="1" x14ac:dyDescent="0.15">
      <c r="A18" s="303" t="s">
        <v>374</v>
      </c>
      <c r="B18" s="303" t="s">
        <v>361</v>
      </c>
      <c r="C18" s="303" t="s">
        <v>577</v>
      </c>
      <c r="D18" s="303" t="s">
        <v>578</v>
      </c>
      <c r="E18" s="303" t="s">
        <v>655</v>
      </c>
      <c r="F18" s="303"/>
      <c r="G18" s="303"/>
      <c r="H18" s="303"/>
      <c r="I18" s="303"/>
    </row>
    <row r="19" spans="1:9" ht="24.75" customHeight="1" x14ac:dyDescent="0.15">
      <c r="A19" s="303" t="s">
        <v>323</v>
      </c>
      <c r="B19" s="303" t="s">
        <v>327</v>
      </c>
      <c r="C19" s="303" t="s">
        <v>328</v>
      </c>
      <c r="D19" s="303" t="s">
        <v>329</v>
      </c>
      <c r="E19" s="303" t="s">
        <v>820</v>
      </c>
      <c r="F19" s="303"/>
      <c r="G19" s="303"/>
      <c r="H19" s="303"/>
      <c r="I19" s="303"/>
    </row>
    <row r="20" spans="1:9" ht="24.75" customHeight="1" x14ac:dyDescent="0.15">
      <c r="A20" s="303" t="s">
        <v>677</v>
      </c>
      <c r="B20" s="303" t="s">
        <v>297</v>
      </c>
      <c r="C20" s="303" t="s">
        <v>679</v>
      </c>
      <c r="D20" s="303" t="s">
        <v>902</v>
      </c>
      <c r="E20" s="303" t="s">
        <v>1078</v>
      </c>
      <c r="F20" s="303"/>
      <c r="G20" s="303"/>
      <c r="H20" s="303"/>
      <c r="I20" s="303"/>
    </row>
    <row r="21" spans="1:9" ht="24.75" customHeight="1" x14ac:dyDescent="0.15">
      <c r="A21" s="303" t="s">
        <v>1079</v>
      </c>
      <c r="B21" s="303" t="s">
        <v>239</v>
      </c>
      <c r="C21" s="303" t="s">
        <v>240</v>
      </c>
      <c r="D21" s="303" t="s">
        <v>241</v>
      </c>
      <c r="E21" s="303" t="s">
        <v>244</v>
      </c>
      <c r="F21" s="303"/>
      <c r="G21" s="303"/>
      <c r="H21" s="303"/>
      <c r="I21" s="303"/>
    </row>
    <row r="22" spans="1:9" ht="24.75" customHeight="1" x14ac:dyDescent="0.15">
      <c r="A22" s="303" t="s">
        <v>1080</v>
      </c>
      <c r="B22" s="303" t="s">
        <v>642</v>
      </c>
      <c r="C22" s="303" t="s">
        <v>643</v>
      </c>
      <c r="D22" s="303" t="s">
        <v>644</v>
      </c>
      <c r="E22" s="303" t="s">
        <v>645</v>
      </c>
      <c r="F22" s="303"/>
      <c r="G22" s="303"/>
      <c r="H22" s="303"/>
      <c r="I22" s="303"/>
    </row>
    <row r="23" spans="1:9" ht="24.75" customHeight="1" x14ac:dyDescent="0.15">
      <c r="A23" s="303" t="s">
        <v>658</v>
      </c>
      <c r="B23" s="303" t="s">
        <v>661</v>
      </c>
      <c r="C23" s="303" t="s">
        <v>662</v>
      </c>
      <c r="D23" s="303" t="s">
        <v>663</v>
      </c>
      <c r="E23" s="303" t="s">
        <v>664</v>
      </c>
      <c r="F23" s="303"/>
      <c r="G23" s="303"/>
      <c r="H23" s="303"/>
      <c r="I23" s="303"/>
    </row>
    <row r="24" spans="1:9" ht="24.75" customHeight="1" x14ac:dyDescent="0.15">
      <c r="A24" s="303" t="s">
        <v>1081</v>
      </c>
      <c r="B24" s="303" t="s">
        <v>327</v>
      </c>
      <c r="C24" s="303" t="s">
        <v>540</v>
      </c>
      <c r="D24" s="303" t="s">
        <v>329</v>
      </c>
      <c r="E24" s="303" t="s">
        <v>820</v>
      </c>
      <c r="F24" s="303"/>
      <c r="G24" s="303"/>
      <c r="H24" s="303"/>
      <c r="I24" s="303"/>
    </row>
    <row r="25" spans="1:9" ht="39" customHeight="1" x14ac:dyDescent="0.15">
      <c r="A25" s="303" t="s">
        <v>649</v>
      </c>
      <c r="B25" s="303" t="s">
        <v>297</v>
      </c>
      <c r="C25" s="303" t="s">
        <v>1082</v>
      </c>
      <c r="D25" s="303" t="s">
        <v>602</v>
      </c>
      <c r="E25" s="303" t="s">
        <v>1083</v>
      </c>
      <c r="F25" s="303"/>
      <c r="G25" s="303"/>
      <c r="H25" s="303"/>
      <c r="I25" s="303"/>
    </row>
    <row r="26" spans="1:9" ht="18.75" x14ac:dyDescent="0.15">
      <c r="A26" s="303" t="s">
        <v>1084</v>
      </c>
      <c r="B26" s="303" t="s">
        <v>291</v>
      </c>
      <c r="C26" s="303" t="s">
        <v>687</v>
      </c>
      <c r="D26" s="303" t="s">
        <v>688</v>
      </c>
      <c r="E26" s="303" t="s">
        <v>689</v>
      </c>
      <c r="F26" s="303"/>
      <c r="G26" s="303"/>
      <c r="H26" s="303"/>
      <c r="I26" s="303"/>
    </row>
    <row r="27" spans="1:9" ht="18.75" x14ac:dyDescent="0.15">
      <c r="A27" s="303" t="s">
        <v>702</v>
      </c>
      <c r="B27" s="303" t="s">
        <v>1085</v>
      </c>
      <c r="C27" s="303" t="s">
        <v>1086</v>
      </c>
      <c r="D27" s="303" t="s">
        <v>1087</v>
      </c>
      <c r="E27" s="303" t="s">
        <v>702</v>
      </c>
      <c r="F27" s="303"/>
      <c r="G27" s="303"/>
      <c r="H27" s="303"/>
      <c r="I27" s="303"/>
    </row>
    <row r="28" spans="1:9" ht="18.75" x14ac:dyDescent="0.15">
      <c r="A28" s="303" t="s">
        <v>358</v>
      </c>
      <c r="B28" s="303" t="s">
        <v>362</v>
      </c>
      <c r="C28" s="303" t="s">
        <v>363</v>
      </c>
      <c r="D28" s="303" t="s">
        <v>363</v>
      </c>
      <c r="E28" s="303" t="s">
        <v>364</v>
      </c>
      <c r="F28" s="303"/>
      <c r="G28" s="303"/>
      <c r="H28" s="303"/>
      <c r="I28" s="303"/>
    </row>
    <row r="29" spans="1:9" ht="18.75" x14ac:dyDescent="0.15">
      <c r="A29" s="303" t="s">
        <v>1088</v>
      </c>
      <c r="B29" s="303" t="s">
        <v>1089</v>
      </c>
      <c r="C29" s="303" t="s">
        <v>1090</v>
      </c>
      <c r="D29" s="303" t="s">
        <v>1091</v>
      </c>
      <c r="E29" s="303" t="s">
        <v>1092</v>
      </c>
      <c r="F29" s="303"/>
      <c r="G29" s="303"/>
      <c r="H29" s="303"/>
      <c r="I29" s="303"/>
    </row>
    <row r="30" spans="1:9" ht="18.75" x14ac:dyDescent="0.15">
      <c r="A30" s="303" t="s">
        <v>1093</v>
      </c>
      <c r="B30" s="303" t="s">
        <v>741</v>
      </c>
      <c r="C30" s="303" t="s">
        <v>742</v>
      </c>
      <c r="D30" s="303" t="s">
        <v>743</v>
      </c>
      <c r="E30" s="303" t="s">
        <v>744</v>
      </c>
      <c r="F30" s="303"/>
      <c r="G30" s="303"/>
      <c r="H30" s="303"/>
      <c r="I30" s="303"/>
    </row>
    <row r="31" spans="1:9" ht="18.75" x14ac:dyDescent="0.15">
      <c r="A31" s="303" t="s">
        <v>1094</v>
      </c>
      <c r="B31" s="303" t="s">
        <v>751</v>
      </c>
      <c r="C31" s="303" t="s">
        <v>752</v>
      </c>
      <c r="D31" s="303" t="s">
        <v>753</v>
      </c>
      <c r="E31" s="303" t="s">
        <v>754</v>
      </c>
      <c r="F31" s="303"/>
      <c r="G31" s="303"/>
      <c r="H31" s="303"/>
      <c r="I31" s="303"/>
    </row>
    <row r="32" spans="1:9" ht="18.75" x14ac:dyDescent="0.15">
      <c r="A32" s="303" t="s">
        <v>856</v>
      </c>
      <c r="B32" s="303" t="s">
        <v>297</v>
      </c>
      <c r="C32" s="303" t="s">
        <v>1095</v>
      </c>
      <c r="D32" s="303" t="s">
        <v>602</v>
      </c>
      <c r="E32" s="303" t="s">
        <v>1096</v>
      </c>
      <c r="F32" s="303"/>
      <c r="G32" s="303"/>
      <c r="H32" s="303"/>
      <c r="I32" s="303"/>
    </row>
    <row r="33" spans="1:9" ht="18.75" x14ac:dyDescent="0.15">
      <c r="A33" s="303" t="s">
        <v>697</v>
      </c>
      <c r="B33" s="303"/>
      <c r="C33" s="303"/>
      <c r="D33" s="303" t="s">
        <v>698</v>
      </c>
      <c r="E33" s="303"/>
      <c r="F33" s="303"/>
      <c r="G33" s="303"/>
      <c r="H33" s="303"/>
      <c r="I33" s="303"/>
    </row>
    <row r="34" spans="1:9" ht="18.75" x14ac:dyDescent="0.15">
      <c r="A34" s="303" t="s">
        <v>769</v>
      </c>
      <c r="B34" s="303" t="s">
        <v>770</v>
      </c>
      <c r="C34" s="303" t="s">
        <v>771</v>
      </c>
      <c r="D34" s="303" t="s">
        <v>698</v>
      </c>
      <c r="E34" s="303" t="s">
        <v>772</v>
      </c>
      <c r="F34" s="303"/>
      <c r="G34" s="303"/>
      <c r="H34" s="303"/>
      <c r="I34" s="303"/>
    </row>
    <row r="35" spans="1:9" ht="18.75" x14ac:dyDescent="0.15">
      <c r="A35" s="303" t="s">
        <v>803</v>
      </c>
      <c r="B35" s="303" t="s">
        <v>804</v>
      </c>
      <c r="C35" s="303" t="s">
        <v>805</v>
      </c>
      <c r="D35" s="303"/>
      <c r="E35" s="303" t="s">
        <v>806</v>
      </c>
      <c r="F35" s="303"/>
      <c r="G35" s="303"/>
      <c r="H35" s="303"/>
      <c r="I35" s="303"/>
    </row>
    <row r="36" spans="1:9" ht="37.5" x14ac:dyDescent="0.15">
      <c r="A36" s="303" t="s">
        <v>1097</v>
      </c>
      <c r="B36" s="303" t="s">
        <v>797</v>
      </c>
      <c r="C36" s="305" t="s">
        <v>798</v>
      </c>
      <c r="D36" s="303"/>
      <c r="E36" s="303" t="s">
        <v>799</v>
      </c>
      <c r="F36" s="303"/>
      <c r="G36" s="303"/>
      <c r="H36" s="303"/>
      <c r="I36" s="303"/>
    </row>
    <row r="37" spans="1:9" ht="18.75" x14ac:dyDescent="0.15">
      <c r="A37" s="303" t="s">
        <v>648</v>
      </c>
      <c r="B37" s="303"/>
      <c r="C37" s="303"/>
      <c r="D37" s="303"/>
      <c r="E37" s="303" t="s">
        <v>824</v>
      </c>
      <c r="F37" s="303"/>
      <c r="G37" s="303"/>
      <c r="H37" s="303"/>
      <c r="I37" s="303"/>
    </row>
    <row r="38" spans="1:9" ht="18.75" x14ac:dyDescent="0.15">
      <c r="A38" s="303" t="s">
        <v>810</v>
      </c>
      <c r="B38" s="303" t="s">
        <v>811</v>
      </c>
      <c r="C38" s="303" t="s">
        <v>812</v>
      </c>
      <c r="D38" s="303" t="s">
        <v>813</v>
      </c>
      <c r="E38" s="303" t="s">
        <v>814</v>
      </c>
      <c r="F38" s="303"/>
      <c r="G38" s="303"/>
      <c r="H38" s="303"/>
      <c r="I38" s="303"/>
    </row>
    <row r="39" spans="1:9" ht="37.5" x14ac:dyDescent="0.15">
      <c r="A39" s="303" t="s">
        <v>863</v>
      </c>
      <c r="B39" s="303" t="s">
        <v>864</v>
      </c>
      <c r="C39" s="305" t="s">
        <v>865</v>
      </c>
      <c r="D39" s="303" t="s">
        <v>866</v>
      </c>
      <c r="E39" s="303" t="s">
        <v>867</v>
      </c>
      <c r="F39" s="303"/>
      <c r="G39" s="303"/>
      <c r="H39" s="303"/>
      <c r="I39" s="303"/>
    </row>
    <row r="40" spans="1:9" ht="18.75" x14ac:dyDescent="0.15">
      <c r="A40" s="303" t="s">
        <v>1098</v>
      </c>
      <c r="B40" s="303"/>
      <c r="C40" s="303"/>
      <c r="D40" s="303" t="s">
        <v>1099</v>
      </c>
      <c r="E40" s="303" t="s">
        <v>1098</v>
      </c>
      <c r="F40" s="303"/>
      <c r="G40" s="303"/>
      <c r="H40" s="303"/>
      <c r="I40" s="303"/>
    </row>
    <row r="41" spans="1:9" ht="18.75" x14ac:dyDescent="0.15">
      <c r="A41" s="303" t="s">
        <v>582</v>
      </c>
      <c r="B41" s="303" t="s">
        <v>583</v>
      </c>
      <c r="C41" s="303" t="s">
        <v>584</v>
      </c>
      <c r="D41" s="303" t="s">
        <v>585</v>
      </c>
      <c r="E41" s="303" t="s">
        <v>586</v>
      </c>
      <c r="F41" s="303"/>
      <c r="G41" s="303"/>
      <c r="H41" s="303"/>
      <c r="I41" s="303"/>
    </row>
    <row r="42" spans="1:9" ht="18.75" x14ac:dyDescent="0.15">
      <c r="A42" s="303" t="s">
        <v>921</v>
      </c>
      <c r="B42" s="303" t="s">
        <v>922</v>
      </c>
      <c r="C42" s="303" t="s">
        <v>923</v>
      </c>
      <c r="D42" s="303" t="s">
        <v>924</v>
      </c>
      <c r="E42" s="303" t="s">
        <v>925</v>
      </c>
      <c r="F42" s="303"/>
      <c r="G42" s="303"/>
      <c r="H42" s="303"/>
      <c r="I42" s="303"/>
    </row>
    <row r="43" spans="1:9" ht="18.75" x14ac:dyDescent="0.15">
      <c r="A43" s="303" t="s">
        <v>967</v>
      </c>
      <c r="B43" s="303"/>
      <c r="C43" s="303"/>
      <c r="D43" s="303" t="s">
        <v>967</v>
      </c>
      <c r="E43" s="303" t="s">
        <v>967</v>
      </c>
      <c r="F43" s="303"/>
      <c r="G43" s="303"/>
      <c r="H43" s="303"/>
      <c r="I43" s="303"/>
    </row>
    <row r="44" spans="1:9" ht="18.75" x14ac:dyDescent="0.15">
      <c r="A44" s="303" t="s">
        <v>412</v>
      </c>
      <c r="B44" s="303" t="s">
        <v>413</v>
      </c>
      <c r="C44" s="303" t="s">
        <v>414</v>
      </c>
      <c r="D44" s="303" t="s">
        <v>970</v>
      </c>
      <c r="E44" s="303" t="s">
        <v>411</v>
      </c>
      <c r="F44" s="303"/>
      <c r="G44" s="303"/>
      <c r="H44" s="303"/>
      <c r="I44" s="303"/>
    </row>
    <row r="45" spans="1:9" ht="18.75" x14ac:dyDescent="0.15">
      <c r="A45" s="303" t="s">
        <v>974</v>
      </c>
      <c r="B45" s="303" t="s">
        <v>1100</v>
      </c>
      <c r="C45" s="303" t="s">
        <v>1101</v>
      </c>
      <c r="D45" s="303"/>
      <c r="E45" s="303" t="s">
        <v>1102</v>
      </c>
      <c r="F45" s="303"/>
      <c r="G45" s="303"/>
      <c r="H45" s="303"/>
      <c r="I45" s="303"/>
    </row>
    <row r="46" spans="1:9" ht="18.75" x14ac:dyDescent="0.15">
      <c r="A46" s="303" t="s">
        <v>1057</v>
      </c>
      <c r="B46" s="303">
        <v>1111</v>
      </c>
      <c r="C46" s="303">
        <v>111111</v>
      </c>
      <c r="D46" s="303"/>
      <c r="E46" s="303"/>
      <c r="F46" s="303"/>
      <c r="G46" s="303"/>
      <c r="H46" s="303"/>
      <c r="I46" s="303"/>
    </row>
    <row r="47" spans="1:9" ht="18.75" x14ac:dyDescent="0.15">
      <c r="A47" s="303" t="s">
        <v>1060</v>
      </c>
      <c r="B47" s="303"/>
      <c r="C47" s="303" t="s">
        <v>1060</v>
      </c>
      <c r="D47" s="303"/>
      <c r="E47" s="303"/>
      <c r="F47" s="303"/>
      <c r="G47" s="303"/>
      <c r="H47" s="303"/>
      <c r="I47" s="303"/>
    </row>
    <row r="48" spans="1:9" ht="18.75" x14ac:dyDescent="0.15">
      <c r="A48" s="303" t="s">
        <v>1004</v>
      </c>
      <c r="B48" s="303" t="s">
        <v>1005</v>
      </c>
      <c r="C48" s="303" t="s">
        <v>1006</v>
      </c>
      <c r="D48" s="303" t="s">
        <v>474</v>
      </c>
      <c r="E48" s="303" t="s">
        <v>1007</v>
      </c>
      <c r="F48" s="303"/>
      <c r="G48" s="303"/>
      <c r="H48" s="303"/>
      <c r="I48" s="303"/>
    </row>
    <row r="49" spans="1:9" ht="18.75" x14ac:dyDescent="0.15">
      <c r="A49" s="303" t="s">
        <v>1012</v>
      </c>
      <c r="B49" s="303" t="s">
        <v>1013</v>
      </c>
      <c r="C49" s="303" t="s">
        <v>1014</v>
      </c>
      <c r="D49" s="303" t="s">
        <v>474</v>
      </c>
      <c r="E49" s="303" t="s">
        <v>814</v>
      </c>
      <c r="F49" s="303"/>
      <c r="G49" s="303"/>
      <c r="H49" s="303"/>
      <c r="I49" s="303"/>
    </row>
    <row r="50" spans="1:9" ht="18.75" x14ac:dyDescent="0.15">
      <c r="A50" s="303" t="s">
        <v>1103</v>
      </c>
      <c r="B50" s="303" t="s">
        <v>670</v>
      </c>
      <c r="C50" s="303" t="s">
        <v>671</v>
      </c>
      <c r="D50" s="303" t="s">
        <v>672</v>
      </c>
      <c r="E50" s="303" t="s">
        <v>673</v>
      </c>
      <c r="F50" s="303"/>
      <c r="G50" s="303"/>
      <c r="H50" s="303"/>
      <c r="I50" s="303"/>
    </row>
    <row r="51" spans="1:9" ht="18.75" x14ac:dyDescent="0.15">
      <c r="A51" s="303" t="s">
        <v>1132</v>
      </c>
      <c r="B51" s="303" t="s">
        <v>239</v>
      </c>
      <c r="C51" s="303" t="s">
        <v>240</v>
      </c>
      <c r="D51" s="303"/>
      <c r="E51" s="303"/>
      <c r="F51" s="303"/>
      <c r="G51" s="303"/>
      <c r="H51" s="303"/>
      <c r="I51" s="303"/>
    </row>
    <row r="52" spans="1:9" ht="18.75" x14ac:dyDescent="0.15">
      <c r="A52" s="303" t="s">
        <v>1112</v>
      </c>
      <c r="B52" s="303" t="s">
        <v>1113</v>
      </c>
      <c r="C52" s="303" t="s">
        <v>1114</v>
      </c>
      <c r="D52" s="303" t="s">
        <v>1115</v>
      </c>
      <c r="E52" s="303" t="s">
        <v>1116</v>
      </c>
      <c r="F52" s="303"/>
      <c r="G52" s="303"/>
      <c r="H52" s="303"/>
      <c r="I52" s="303"/>
    </row>
    <row r="53" spans="1:9" ht="18.75" x14ac:dyDescent="0.15">
      <c r="A53" s="303"/>
      <c r="B53" s="303"/>
      <c r="C53" s="303"/>
      <c r="D53" s="303"/>
      <c r="E53" s="303"/>
      <c r="F53" s="303"/>
      <c r="G53" s="303"/>
      <c r="H53" s="303"/>
      <c r="I53" s="303"/>
    </row>
    <row r="54" spans="1:9" ht="18.75" x14ac:dyDescent="0.15">
      <c r="A54" s="303"/>
      <c r="B54" s="303"/>
      <c r="C54" s="303"/>
      <c r="D54" s="303"/>
      <c r="E54" s="303"/>
      <c r="F54" s="303"/>
      <c r="G54" s="303"/>
      <c r="H54" s="303"/>
      <c r="I54" s="303"/>
    </row>
    <row r="55" spans="1:9" ht="18.75" x14ac:dyDescent="0.15">
      <c r="A55" s="303"/>
      <c r="B55" s="303"/>
      <c r="C55" s="303"/>
      <c r="D55" s="303"/>
      <c r="E55" s="303"/>
      <c r="F55" s="303"/>
      <c r="G55" s="303"/>
      <c r="H55" s="303"/>
      <c r="I55" s="303"/>
    </row>
    <row r="56" spans="1:9" ht="18.75" x14ac:dyDescent="0.15">
      <c r="A56" s="303"/>
      <c r="B56" s="303"/>
      <c r="C56" s="303"/>
      <c r="D56" s="303"/>
      <c r="E56" s="303"/>
      <c r="F56" s="303"/>
      <c r="G56" s="303"/>
      <c r="H56" s="303"/>
      <c r="I56" s="303"/>
    </row>
    <row r="57" spans="1:9" ht="18.75" x14ac:dyDescent="0.15">
      <c r="A57" s="303"/>
      <c r="B57" s="303"/>
      <c r="C57" s="303"/>
      <c r="D57" s="303"/>
      <c r="E57" s="303"/>
      <c r="F57" s="303"/>
      <c r="G57" s="303"/>
      <c r="H57" s="303"/>
      <c r="I57" s="303"/>
    </row>
    <row r="58" spans="1:9" ht="18.75" x14ac:dyDescent="0.15">
      <c r="A58" s="303"/>
      <c r="B58" s="303"/>
      <c r="C58" s="303"/>
      <c r="D58" s="303"/>
      <c r="E58" s="303"/>
      <c r="F58" s="303"/>
      <c r="G58" s="303"/>
      <c r="H58" s="303"/>
      <c r="I58" s="303"/>
    </row>
    <row r="59" spans="1:9" ht="18.75" x14ac:dyDescent="0.15">
      <c r="A59" s="303"/>
      <c r="B59" s="303"/>
      <c r="C59" s="303"/>
      <c r="D59" s="303"/>
      <c r="E59" s="303"/>
      <c r="F59" s="303"/>
      <c r="G59" s="303"/>
      <c r="H59" s="303"/>
      <c r="I59" s="303"/>
    </row>
    <row r="60" spans="1:9" ht="18.75" x14ac:dyDescent="0.15">
      <c r="A60" s="303"/>
      <c r="B60" s="303"/>
      <c r="C60" s="303"/>
      <c r="D60" s="303"/>
      <c r="E60" s="303"/>
      <c r="F60" s="303"/>
      <c r="G60" s="303"/>
      <c r="H60" s="303"/>
      <c r="I60" s="303"/>
    </row>
    <row r="61" spans="1:9" ht="18.75" x14ac:dyDescent="0.15">
      <c r="A61" s="303"/>
      <c r="B61" s="303"/>
      <c r="C61" s="303"/>
      <c r="D61" s="303"/>
      <c r="E61" s="303"/>
      <c r="F61" s="303"/>
      <c r="G61" s="303"/>
      <c r="H61" s="303"/>
      <c r="I61" s="303"/>
    </row>
    <row r="62" spans="1:9" ht="18.75" x14ac:dyDescent="0.15">
      <c r="A62" s="303"/>
      <c r="B62" s="303"/>
      <c r="C62" s="303"/>
      <c r="D62" s="303"/>
      <c r="E62" s="303"/>
      <c r="F62" s="303"/>
      <c r="G62" s="303"/>
      <c r="H62" s="303"/>
      <c r="I62" s="303"/>
    </row>
    <row r="63" spans="1:9" ht="18.75" x14ac:dyDescent="0.15">
      <c r="A63" s="303"/>
      <c r="B63" s="303"/>
      <c r="C63" s="303"/>
      <c r="D63" s="303"/>
      <c r="E63" s="303"/>
      <c r="F63" s="303"/>
      <c r="G63" s="303"/>
      <c r="H63" s="303"/>
      <c r="I63" s="303"/>
    </row>
    <row r="64" spans="1:9" ht="18.75" x14ac:dyDescent="0.15">
      <c r="A64" s="303"/>
      <c r="B64" s="303"/>
      <c r="C64" s="303"/>
      <c r="D64" s="303"/>
      <c r="E64" s="303"/>
      <c r="F64" s="303"/>
      <c r="G64" s="303"/>
      <c r="H64" s="303"/>
      <c r="I64" s="303"/>
    </row>
    <row r="65" spans="1:9" ht="18.75" x14ac:dyDescent="0.15">
      <c r="A65" s="303"/>
      <c r="B65" s="303"/>
      <c r="C65" s="303"/>
      <c r="D65" s="303"/>
      <c r="E65" s="303"/>
      <c r="F65" s="303"/>
      <c r="G65" s="303"/>
      <c r="H65" s="303"/>
      <c r="I65" s="303"/>
    </row>
    <row r="66" spans="1:9" ht="18.75" x14ac:dyDescent="0.15">
      <c r="A66" s="303"/>
      <c r="B66" s="303"/>
      <c r="C66" s="303"/>
      <c r="D66" s="303"/>
      <c r="E66" s="303"/>
      <c r="F66" s="303"/>
      <c r="G66" s="303"/>
      <c r="H66" s="303"/>
      <c r="I66" s="303"/>
    </row>
    <row r="67" spans="1:9" ht="18.75" x14ac:dyDescent="0.15">
      <c r="A67" s="303"/>
      <c r="B67" s="303"/>
      <c r="C67" s="303"/>
      <c r="D67" s="303"/>
      <c r="E67" s="303"/>
      <c r="F67" s="303"/>
      <c r="G67" s="303"/>
      <c r="H67" s="303"/>
      <c r="I67" s="303"/>
    </row>
    <row r="68" spans="1:9" ht="18.75" x14ac:dyDescent="0.15">
      <c r="A68" s="303"/>
      <c r="B68" s="303"/>
      <c r="C68" s="303"/>
      <c r="D68" s="303"/>
      <c r="E68" s="303"/>
      <c r="F68" s="303"/>
      <c r="G68" s="303"/>
      <c r="H68" s="303"/>
      <c r="I68" s="303"/>
    </row>
    <row r="69" spans="1:9" ht="18.75" x14ac:dyDescent="0.15">
      <c r="A69" s="303"/>
      <c r="B69" s="303"/>
      <c r="C69" s="303"/>
      <c r="D69" s="303"/>
      <c r="E69" s="303"/>
      <c r="F69" s="303"/>
      <c r="G69" s="303"/>
      <c r="H69" s="303"/>
      <c r="I69" s="303"/>
    </row>
    <row r="70" spans="1:9" ht="18.75" x14ac:dyDescent="0.15">
      <c r="A70" s="303"/>
      <c r="B70" s="303"/>
      <c r="C70" s="303"/>
      <c r="D70" s="303"/>
      <c r="E70" s="303"/>
      <c r="F70" s="303"/>
      <c r="G70" s="303"/>
      <c r="H70" s="303"/>
      <c r="I70" s="303"/>
    </row>
    <row r="71" spans="1:9" ht="18.75" x14ac:dyDescent="0.15">
      <c r="A71" s="303"/>
      <c r="B71" s="303"/>
      <c r="C71" s="303"/>
      <c r="D71" s="303"/>
      <c r="E71" s="303"/>
      <c r="F71" s="303"/>
      <c r="G71" s="303"/>
      <c r="H71" s="303"/>
      <c r="I71" s="303"/>
    </row>
    <row r="72" spans="1:9" ht="18.75" x14ac:dyDescent="0.15">
      <c r="A72" s="303"/>
      <c r="B72" s="303"/>
      <c r="C72" s="303"/>
      <c r="D72" s="303"/>
      <c r="E72" s="303"/>
      <c r="F72" s="303"/>
      <c r="G72" s="303"/>
      <c r="H72" s="303"/>
      <c r="I72" s="303"/>
    </row>
    <row r="73" spans="1:9" ht="18.75" x14ac:dyDescent="0.15">
      <c r="A73" s="303"/>
      <c r="B73" s="303"/>
      <c r="C73" s="303"/>
      <c r="D73" s="303"/>
      <c r="E73" s="303"/>
      <c r="F73" s="303"/>
      <c r="G73" s="303"/>
      <c r="H73" s="303"/>
      <c r="I73" s="303"/>
    </row>
    <row r="74" spans="1:9" ht="18.75" x14ac:dyDescent="0.15">
      <c r="A74" s="303"/>
      <c r="B74" s="303"/>
      <c r="C74" s="303"/>
      <c r="D74" s="303"/>
      <c r="E74" s="303"/>
      <c r="F74" s="303"/>
      <c r="G74" s="303"/>
      <c r="H74" s="303"/>
      <c r="I74" s="303"/>
    </row>
    <row r="75" spans="1:9" ht="18.75" x14ac:dyDescent="0.15">
      <c r="A75" s="303"/>
      <c r="B75" s="303"/>
      <c r="C75" s="303"/>
      <c r="D75" s="303"/>
      <c r="E75" s="303"/>
      <c r="F75" s="303"/>
      <c r="G75" s="303"/>
      <c r="H75" s="303"/>
      <c r="I75" s="303"/>
    </row>
    <row r="76" spans="1:9" ht="18.75" x14ac:dyDescent="0.15">
      <c r="A76" s="303"/>
      <c r="B76" s="303"/>
      <c r="C76" s="303"/>
      <c r="D76" s="303"/>
      <c r="E76" s="303"/>
      <c r="F76" s="303"/>
      <c r="G76" s="303"/>
      <c r="H76" s="303"/>
      <c r="I76" s="303"/>
    </row>
    <row r="77" spans="1:9" ht="18.75" x14ac:dyDescent="0.15">
      <c r="A77" s="303"/>
      <c r="B77" s="303"/>
      <c r="C77" s="303"/>
      <c r="D77" s="303"/>
      <c r="E77" s="303"/>
      <c r="F77" s="303"/>
      <c r="G77" s="303"/>
      <c r="H77" s="303"/>
      <c r="I77" s="303"/>
    </row>
    <row r="78" spans="1:9" ht="18.75" x14ac:dyDescent="0.15">
      <c r="A78" s="303"/>
      <c r="B78" s="303"/>
      <c r="C78" s="303"/>
      <c r="D78" s="303"/>
      <c r="E78" s="303"/>
      <c r="F78" s="303"/>
      <c r="G78" s="303"/>
      <c r="H78" s="303"/>
      <c r="I78" s="303"/>
    </row>
    <row r="79" spans="1:9" ht="18.75" x14ac:dyDescent="0.15">
      <c r="A79" s="303"/>
      <c r="B79" s="303"/>
      <c r="C79" s="303"/>
      <c r="D79" s="303"/>
      <c r="E79" s="303"/>
      <c r="F79" s="303"/>
      <c r="G79" s="303"/>
      <c r="H79" s="303"/>
      <c r="I79" s="303"/>
    </row>
    <row r="80" spans="1:9" ht="18.75" x14ac:dyDescent="0.15">
      <c r="A80" s="303"/>
      <c r="B80" s="303"/>
      <c r="C80" s="303"/>
      <c r="D80" s="303"/>
      <c r="E80" s="303"/>
      <c r="F80" s="303"/>
      <c r="G80" s="303"/>
      <c r="H80" s="303"/>
      <c r="I80" s="303"/>
    </row>
    <row r="81" spans="1:9" ht="18.75" x14ac:dyDescent="0.15">
      <c r="A81" s="303"/>
      <c r="B81" s="303"/>
      <c r="C81" s="303"/>
      <c r="D81" s="303"/>
      <c r="E81" s="303"/>
      <c r="F81" s="303"/>
      <c r="G81" s="303"/>
      <c r="H81" s="303"/>
      <c r="I81" s="303"/>
    </row>
    <row r="82" spans="1:9" ht="18.75" x14ac:dyDescent="0.15">
      <c r="A82" s="303"/>
      <c r="B82" s="303"/>
      <c r="C82" s="303"/>
      <c r="D82" s="303"/>
      <c r="E82" s="303"/>
      <c r="F82" s="303"/>
      <c r="G82" s="303"/>
      <c r="H82" s="303"/>
      <c r="I82" s="303"/>
    </row>
    <row r="83" spans="1:9" ht="18.75" x14ac:dyDescent="0.15">
      <c r="A83" s="303"/>
      <c r="B83" s="303"/>
      <c r="C83" s="303"/>
      <c r="D83" s="303"/>
      <c r="E83" s="303"/>
      <c r="F83" s="303"/>
      <c r="G83" s="303"/>
      <c r="H83" s="303"/>
      <c r="I83" s="303"/>
    </row>
  </sheetData>
  <phoneticPr fontId="3"/>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CA5AE-FEEE-4170-8C69-5CF45B702778}">
  <sheetPr codeName="Sheet8"/>
  <dimension ref="A1:Y173"/>
  <sheetViews>
    <sheetView workbookViewId="0">
      <selection sqref="A1:C1"/>
    </sheetView>
  </sheetViews>
  <sheetFormatPr defaultRowHeight="12" x14ac:dyDescent="0.15"/>
  <sheetData>
    <row r="1" spans="1:25" ht="16.5" x14ac:dyDescent="0.15">
      <c r="A1" s="334"/>
      <c r="B1" s="335"/>
      <c r="C1" s="335"/>
      <c r="D1" s="232"/>
      <c r="E1" s="87"/>
      <c r="F1" s="87"/>
      <c r="G1" s="233"/>
      <c r="H1" s="234"/>
      <c r="I1" s="234"/>
      <c r="J1" s="234"/>
      <c r="K1" s="235"/>
      <c r="L1" s="232"/>
      <c r="M1" s="236"/>
      <c r="N1" s="233"/>
      <c r="O1" s="233"/>
      <c r="P1" s="233"/>
      <c r="Q1" s="233"/>
      <c r="R1" s="233"/>
      <c r="S1" s="233"/>
      <c r="T1" s="233"/>
      <c r="U1" s="233"/>
      <c r="V1" s="233"/>
      <c r="W1" s="233"/>
      <c r="X1" s="237"/>
      <c r="Y1" s="237"/>
    </row>
    <row r="2" spans="1:25" ht="19.5" x14ac:dyDescent="0.25">
      <c r="A2" s="336"/>
      <c r="B2" s="336"/>
      <c r="C2" s="336"/>
      <c r="D2" s="336"/>
      <c r="E2" s="238"/>
      <c r="F2" s="87"/>
      <c r="G2" s="238"/>
      <c r="H2" s="238"/>
      <c r="I2" s="238"/>
      <c r="J2" s="238"/>
      <c r="K2" s="239"/>
      <c r="L2" s="238"/>
      <c r="M2" s="240">
        <f ca="1">TODAY()</f>
        <v>46160</v>
      </c>
      <c r="N2" s="238"/>
      <c r="O2" s="238"/>
      <c r="P2" s="238"/>
      <c r="Q2" s="238"/>
      <c r="R2" s="238"/>
      <c r="S2" s="238"/>
      <c r="T2" s="238"/>
      <c r="U2" s="238"/>
      <c r="V2" s="238"/>
      <c r="W2" s="238"/>
      <c r="X2" s="87"/>
      <c r="Y2" s="87"/>
    </row>
    <row r="3" spans="1:25" ht="16.5" x14ac:dyDescent="0.15">
      <c r="A3" s="1"/>
      <c r="B3" s="2"/>
      <c r="C3" s="241"/>
      <c r="D3" s="241"/>
      <c r="E3" s="242"/>
      <c r="F3" s="242"/>
      <c r="G3" s="243"/>
      <c r="H3" s="243"/>
      <c r="I3" s="243"/>
      <c r="J3" s="243"/>
      <c r="K3" s="244"/>
      <c r="L3" s="245"/>
      <c r="M3" s="246"/>
      <c r="N3" s="247"/>
      <c r="O3" s="248"/>
      <c r="P3" s="248"/>
      <c r="Q3" s="248"/>
      <c r="R3" s="248"/>
      <c r="S3" s="248"/>
      <c r="T3" s="248"/>
      <c r="U3" s="248"/>
      <c r="V3" s="248"/>
      <c r="W3" s="248"/>
      <c r="X3" s="249"/>
      <c r="Y3" s="250"/>
    </row>
    <row r="4" spans="1:25" ht="99" x14ac:dyDescent="0.15">
      <c r="A4" s="31" t="s">
        <v>0</v>
      </c>
      <c r="B4" s="32" t="s">
        <v>1</v>
      </c>
      <c r="C4" s="33" t="s">
        <v>2</v>
      </c>
      <c r="D4" s="34" t="s">
        <v>3</v>
      </c>
      <c r="E4" s="35" t="s">
        <v>4</v>
      </c>
      <c r="F4" s="35" t="s">
        <v>5</v>
      </c>
      <c r="G4" s="36" t="s">
        <v>6</v>
      </c>
      <c r="H4" s="36" t="s">
        <v>7</v>
      </c>
      <c r="I4" s="36" t="s">
        <v>8</v>
      </c>
      <c r="J4" s="36" t="s">
        <v>9</v>
      </c>
      <c r="K4" s="37" t="s">
        <v>10</v>
      </c>
      <c r="L4" s="38" t="s">
        <v>11</v>
      </c>
      <c r="M4" s="106" t="s">
        <v>12</v>
      </c>
      <c r="N4" s="39" t="s">
        <v>13</v>
      </c>
      <c r="O4" s="40" t="s">
        <v>14</v>
      </c>
      <c r="P4" s="40" t="s">
        <v>15</v>
      </c>
      <c r="Q4" s="40" t="s">
        <v>16</v>
      </c>
      <c r="R4" s="41" t="s">
        <v>17</v>
      </c>
      <c r="S4" s="40" t="s">
        <v>18</v>
      </c>
      <c r="T4" s="40" t="s">
        <v>19</v>
      </c>
      <c r="U4" s="40" t="s">
        <v>20</v>
      </c>
      <c r="V4" s="40" t="s">
        <v>21</v>
      </c>
      <c r="W4" s="40" t="s">
        <v>22</v>
      </c>
      <c r="X4" s="107" t="s">
        <v>23</v>
      </c>
      <c r="Y4" s="107"/>
    </row>
    <row r="5" spans="1:25" ht="16.5" x14ac:dyDescent="0.15">
      <c r="A5" s="108">
        <v>2025</v>
      </c>
      <c r="B5" s="108">
        <v>1</v>
      </c>
      <c r="C5" s="108" t="s">
        <v>205</v>
      </c>
      <c r="D5" s="109" t="s">
        <v>24</v>
      </c>
      <c r="E5" s="110" t="s">
        <v>533</v>
      </c>
      <c r="F5" s="110" t="s">
        <v>25</v>
      </c>
      <c r="G5" s="111">
        <v>45901</v>
      </c>
      <c r="H5" s="112">
        <v>46112</v>
      </c>
      <c r="I5" s="112" t="s">
        <v>248</v>
      </c>
      <c r="J5" s="112">
        <v>45650</v>
      </c>
      <c r="K5" s="113">
        <v>460000000</v>
      </c>
      <c r="L5" s="114" t="s">
        <v>248</v>
      </c>
      <c r="M5" s="110"/>
      <c r="N5" s="115" t="s">
        <v>26</v>
      </c>
      <c r="O5" s="116"/>
      <c r="P5" s="116"/>
      <c r="Q5" s="116"/>
      <c r="R5" s="116"/>
      <c r="S5" s="116"/>
      <c r="T5" s="116"/>
      <c r="U5" s="116"/>
      <c r="V5" s="116"/>
      <c r="W5" s="116"/>
      <c r="X5" s="117"/>
      <c r="Y5" s="117"/>
    </row>
    <row r="6" spans="1:25" ht="33" x14ac:dyDescent="0.15">
      <c r="A6" s="108">
        <v>2025</v>
      </c>
      <c r="B6" s="108">
        <v>2</v>
      </c>
      <c r="C6" s="108" t="s">
        <v>205</v>
      </c>
      <c r="D6" s="109" t="s">
        <v>27</v>
      </c>
      <c r="E6" s="110" t="s">
        <v>28</v>
      </c>
      <c r="F6" s="118" t="s">
        <v>29</v>
      </c>
      <c r="G6" s="119">
        <v>45597</v>
      </c>
      <c r="H6" s="119">
        <v>45898</v>
      </c>
      <c r="I6" s="112" t="s">
        <v>248</v>
      </c>
      <c r="J6" s="119">
        <v>45588</v>
      </c>
      <c r="K6" s="120">
        <v>376000000</v>
      </c>
      <c r="L6" s="114" t="s">
        <v>248</v>
      </c>
      <c r="M6" s="121"/>
      <c r="N6" s="115" t="s">
        <v>26</v>
      </c>
      <c r="O6" s="116"/>
      <c r="P6" s="116"/>
      <c r="Q6" s="116"/>
      <c r="R6" s="116"/>
      <c r="S6" s="116"/>
      <c r="T6" s="116"/>
      <c r="U6" s="116"/>
      <c r="V6" s="116"/>
      <c r="W6" s="116"/>
      <c r="X6" s="117"/>
      <c r="Y6" s="117"/>
    </row>
    <row r="7" spans="1:25" ht="297" x14ac:dyDescent="0.15">
      <c r="A7" s="108">
        <v>2025</v>
      </c>
      <c r="B7" s="108">
        <v>3</v>
      </c>
      <c r="C7" s="108" t="s">
        <v>205</v>
      </c>
      <c r="D7" s="109" t="s">
        <v>30</v>
      </c>
      <c r="E7" s="110" t="s">
        <v>31</v>
      </c>
      <c r="F7" s="110" t="s">
        <v>32</v>
      </c>
      <c r="G7" s="111">
        <v>45809</v>
      </c>
      <c r="H7" s="112">
        <v>46053</v>
      </c>
      <c r="I7" s="112" t="s">
        <v>248</v>
      </c>
      <c r="J7" s="112">
        <v>45383</v>
      </c>
      <c r="K7" s="113">
        <v>383000000</v>
      </c>
      <c r="L7" s="114" t="s">
        <v>248</v>
      </c>
      <c r="M7" s="110"/>
      <c r="N7" s="115" t="s">
        <v>26</v>
      </c>
      <c r="O7" s="116"/>
      <c r="P7" s="116"/>
      <c r="Q7" s="116"/>
      <c r="R7" s="116"/>
      <c r="S7" s="116"/>
      <c r="T7" s="116"/>
      <c r="U7" s="116"/>
      <c r="V7" s="116"/>
      <c r="W7" s="116"/>
      <c r="X7" s="122" t="s">
        <v>534</v>
      </c>
      <c r="Y7" s="117"/>
    </row>
    <row r="8" spans="1:25" ht="16.5" x14ac:dyDescent="0.15">
      <c r="A8" s="3">
        <v>2025</v>
      </c>
      <c r="B8" s="3">
        <v>4</v>
      </c>
      <c r="C8" s="3" t="s">
        <v>205</v>
      </c>
      <c r="D8" s="254" t="s">
        <v>30</v>
      </c>
      <c r="E8" s="255" t="s">
        <v>33</v>
      </c>
      <c r="F8" s="255" t="s">
        <v>32</v>
      </c>
      <c r="G8" s="256">
        <v>45946</v>
      </c>
      <c r="H8" s="256">
        <v>46006</v>
      </c>
      <c r="I8" s="257" t="s">
        <v>248</v>
      </c>
      <c r="J8" s="258">
        <v>45383</v>
      </c>
      <c r="K8" s="259">
        <v>32100000</v>
      </c>
      <c r="L8" s="4" t="s">
        <v>248</v>
      </c>
      <c r="M8" s="260"/>
      <c r="N8" s="256" t="s">
        <v>26</v>
      </c>
      <c r="O8" s="251"/>
      <c r="P8" s="251"/>
      <c r="Q8" s="251"/>
      <c r="R8" s="251"/>
      <c r="S8" s="251"/>
      <c r="T8" s="251"/>
      <c r="U8" s="251"/>
      <c r="V8" s="251"/>
      <c r="W8" s="251"/>
      <c r="X8" s="252"/>
      <c r="Y8" s="252"/>
    </row>
    <row r="9" spans="1:25" ht="16.5" x14ac:dyDescent="0.15">
      <c r="A9" s="108">
        <v>2025</v>
      </c>
      <c r="B9" s="108">
        <v>5</v>
      </c>
      <c r="C9" s="108" t="s">
        <v>205</v>
      </c>
      <c r="D9" s="108" t="s">
        <v>34</v>
      </c>
      <c r="E9" s="110" t="s">
        <v>535</v>
      </c>
      <c r="F9" s="110" t="s">
        <v>35</v>
      </c>
      <c r="G9" s="111">
        <v>45555</v>
      </c>
      <c r="H9" s="112">
        <v>45945</v>
      </c>
      <c r="I9" s="112" t="s">
        <v>248</v>
      </c>
      <c r="J9" s="112">
        <v>45555</v>
      </c>
      <c r="K9" s="113">
        <v>600000</v>
      </c>
      <c r="L9" s="114" t="s">
        <v>248</v>
      </c>
      <c r="M9" s="129"/>
      <c r="N9" s="125" t="s">
        <v>26</v>
      </c>
      <c r="O9" s="116"/>
      <c r="P9" s="116"/>
      <c r="Q9" s="116"/>
      <c r="R9" s="116"/>
      <c r="S9" s="116"/>
      <c r="T9" s="116"/>
      <c r="U9" s="116"/>
      <c r="V9" s="116"/>
      <c r="W9" s="116"/>
      <c r="X9" s="117"/>
      <c r="Y9" s="117"/>
    </row>
    <row r="10" spans="1:25" ht="115.5" x14ac:dyDescent="0.15">
      <c r="A10" s="108">
        <v>2025</v>
      </c>
      <c r="B10" s="108">
        <v>6</v>
      </c>
      <c r="C10" s="108" t="s">
        <v>205</v>
      </c>
      <c r="D10" s="108" t="s">
        <v>36</v>
      </c>
      <c r="E10" s="110" t="s">
        <v>536</v>
      </c>
      <c r="F10" s="118" t="s">
        <v>267</v>
      </c>
      <c r="G10" s="111">
        <v>45689</v>
      </c>
      <c r="H10" s="112">
        <v>45930</v>
      </c>
      <c r="I10" s="112" t="s">
        <v>248</v>
      </c>
      <c r="J10" s="112">
        <v>45566</v>
      </c>
      <c r="K10" s="113">
        <v>116000000</v>
      </c>
      <c r="L10" s="114" t="s">
        <v>248</v>
      </c>
      <c r="M10" s="129"/>
      <c r="N10" s="125" t="s">
        <v>26</v>
      </c>
      <c r="O10" s="116"/>
      <c r="P10" s="116"/>
      <c r="Q10" s="116"/>
      <c r="R10" s="116"/>
      <c r="S10" s="116"/>
      <c r="T10" s="116"/>
      <c r="U10" s="116"/>
      <c r="V10" s="116"/>
      <c r="W10" s="116"/>
      <c r="X10" s="117"/>
      <c r="Y10" s="117"/>
    </row>
    <row r="11" spans="1:25" ht="16.5" x14ac:dyDescent="0.15">
      <c r="A11" s="42">
        <v>2025</v>
      </c>
      <c r="B11" s="42">
        <v>7</v>
      </c>
      <c r="C11" s="42" t="s">
        <v>205</v>
      </c>
      <c r="D11" s="42" t="s">
        <v>37</v>
      </c>
      <c r="E11" s="128" t="s">
        <v>38</v>
      </c>
      <c r="F11" s="128" t="s">
        <v>39</v>
      </c>
      <c r="G11" s="115">
        <v>45708</v>
      </c>
      <c r="H11" s="126">
        <v>45900</v>
      </c>
      <c r="I11" s="126" t="s">
        <v>248</v>
      </c>
      <c r="J11" s="126">
        <v>45686</v>
      </c>
      <c r="K11" s="130">
        <v>116060000</v>
      </c>
      <c r="L11" s="43" t="s">
        <v>248</v>
      </c>
      <c r="M11" s="131"/>
      <c r="N11" s="115" t="s">
        <v>26</v>
      </c>
      <c r="O11" s="116"/>
      <c r="P11" s="116"/>
      <c r="Q11" s="116"/>
      <c r="R11" s="116"/>
      <c r="S11" s="116"/>
      <c r="T11" s="116"/>
      <c r="U11" s="116"/>
      <c r="V11" s="116"/>
      <c r="W11" s="116"/>
      <c r="X11" s="117"/>
      <c r="Y11" s="132"/>
    </row>
    <row r="12" spans="1:25" ht="16.5" x14ac:dyDescent="0.15">
      <c r="A12" s="43">
        <v>2025</v>
      </c>
      <c r="B12" s="42">
        <v>8</v>
      </c>
      <c r="C12" s="43" t="s">
        <v>205</v>
      </c>
      <c r="D12" s="43" t="s">
        <v>40</v>
      </c>
      <c r="E12" s="133" t="s">
        <v>41</v>
      </c>
      <c r="F12" s="133" t="s">
        <v>268</v>
      </c>
      <c r="G12" s="116">
        <v>45704</v>
      </c>
      <c r="H12" s="126">
        <v>45823</v>
      </c>
      <c r="I12" s="126" t="s">
        <v>248</v>
      </c>
      <c r="J12" s="126">
        <v>45687</v>
      </c>
      <c r="K12" s="130">
        <v>38200000</v>
      </c>
      <c r="L12" s="43" t="s">
        <v>248</v>
      </c>
      <c r="M12" s="134"/>
      <c r="N12" s="116" t="s">
        <v>42</v>
      </c>
      <c r="O12" s="116"/>
      <c r="P12" s="116"/>
      <c r="Q12" s="116"/>
      <c r="R12" s="116"/>
      <c r="S12" s="116"/>
      <c r="T12" s="116"/>
      <c r="U12" s="116"/>
      <c r="V12" s="116"/>
      <c r="W12" s="116"/>
      <c r="X12" s="117"/>
      <c r="Y12" s="117"/>
    </row>
    <row r="13" spans="1:25" ht="247.5" x14ac:dyDescent="0.15">
      <c r="A13" s="135">
        <v>2025</v>
      </c>
      <c r="B13" s="135">
        <v>9</v>
      </c>
      <c r="C13" s="135" t="s">
        <v>205</v>
      </c>
      <c r="D13" s="135" t="s">
        <v>43</v>
      </c>
      <c r="E13" s="136" t="s">
        <v>44</v>
      </c>
      <c r="F13" s="136" t="s">
        <v>45</v>
      </c>
      <c r="G13" s="137">
        <v>45839</v>
      </c>
      <c r="H13" s="138">
        <v>45869</v>
      </c>
      <c r="I13" s="138" t="s">
        <v>248</v>
      </c>
      <c r="J13" s="138">
        <v>45748</v>
      </c>
      <c r="K13" s="139">
        <v>360000</v>
      </c>
      <c r="L13" s="140" t="s">
        <v>248</v>
      </c>
      <c r="M13" s="141"/>
      <c r="N13" s="137">
        <v>45905</v>
      </c>
      <c r="O13" s="142" t="s">
        <v>333</v>
      </c>
      <c r="P13" s="142" t="s">
        <v>75</v>
      </c>
      <c r="Q13" s="142">
        <v>45905</v>
      </c>
      <c r="R13" s="142">
        <v>45878</v>
      </c>
      <c r="S13" s="142" t="s">
        <v>332</v>
      </c>
      <c r="T13" s="142" t="s">
        <v>327</v>
      </c>
      <c r="U13" s="142" t="s">
        <v>328</v>
      </c>
      <c r="V13" s="142" t="s">
        <v>329</v>
      </c>
      <c r="W13" s="142" t="s">
        <v>330</v>
      </c>
      <c r="X13" s="143" t="s">
        <v>537</v>
      </c>
      <c r="Y13" s="143"/>
    </row>
    <row r="14" spans="1:25" ht="16.5" x14ac:dyDescent="0.15">
      <c r="A14" s="108">
        <v>2025</v>
      </c>
      <c r="B14" s="108">
        <v>10</v>
      </c>
      <c r="C14" s="108" t="s">
        <v>205</v>
      </c>
      <c r="D14" s="108" t="s">
        <v>269</v>
      </c>
      <c r="E14" s="110" t="s">
        <v>270</v>
      </c>
      <c r="F14" s="110" t="s">
        <v>271</v>
      </c>
      <c r="G14" s="111">
        <v>45962</v>
      </c>
      <c r="H14" s="112">
        <v>46265</v>
      </c>
      <c r="I14" s="112" t="s">
        <v>248</v>
      </c>
      <c r="J14" s="112">
        <v>45922</v>
      </c>
      <c r="K14" s="113">
        <v>76700000</v>
      </c>
      <c r="L14" s="114" t="s">
        <v>352</v>
      </c>
      <c r="M14" s="129"/>
      <c r="N14" s="116" t="s">
        <v>42</v>
      </c>
      <c r="O14" s="116"/>
      <c r="P14" s="116"/>
      <c r="Q14" s="116"/>
      <c r="R14" s="116"/>
      <c r="S14" s="116"/>
      <c r="T14" s="116"/>
      <c r="U14" s="116"/>
      <c r="V14" s="116"/>
      <c r="W14" s="116"/>
      <c r="X14" s="117" t="s">
        <v>538</v>
      </c>
      <c r="Y14" s="117"/>
    </row>
    <row r="15" spans="1:25" ht="409.5" x14ac:dyDescent="0.15">
      <c r="A15" s="44">
        <v>2025</v>
      </c>
      <c r="B15" s="144">
        <v>11</v>
      </c>
      <c r="C15" s="44" t="s">
        <v>205</v>
      </c>
      <c r="D15" s="44" t="s">
        <v>46</v>
      </c>
      <c r="E15" s="145" t="s">
        <v>47</v>
      </c>
      <c r="F15" s="145" t="s">
        <v>48</v>
      </c>
      <c r="G15" s="146">
        <v>45809</v>
      </c>
      <c r="H15" s="147">
        <v>45912</v>
      </c>
      <c r="I15" s="147"/>
      <c r="J15" s="147"/>
      <c r="K15" s="148">
        <v>320000</v>
      </c>
      <c r="L15" s="44" t="s">
        <v>248</v>
      </c>
      <c r="M15" s="149"/>
      <c r="N15" s="146">
        <v>45932</v>
      </c>
      <c r="O15" s="146" t="s">
        <v>539</v>
      </c>
      <c r="P15" s="146" t="s">
        <v>75</v>
      </c>
      <c r="Q15" s="146">
        <v>45932</v>
      </c>
      <c r="R15" s="146"/>
      <c r="S15" s="146" t="s">
        <v>330</v>
      </c>
      <c r="T15" s="146" t="s">
        <v>327</v>
      </c>
      <c r="U15" s="146" t="s">
        <v>540</v>
      </c>
      <c r="V15" s="146" t="s">
        <v>329</v>
      </c>
      <c r="W15" s="146" t="s">
        <v>330</v>
      </c>
      <c r="X15" s="132" t="s">
        <v>541</v>
      </c>
      <c r="Y15" s="117"/>
    </row>
    <row r="16" spans="1:25" ht="16.5" x14ac:dyDescent="0.15">
      <c r="A16" s="43">
        <v>2025</v>
      </c>
      <c r="B16" s="42">
        <v>12</v>
      </c>
      <c r="C16" s="43" t="s">
        <v>205</v>
      </c>
      <c r="D16" s="43" t="s">
        <v>49</v>
      </c>
      <c r="E16" s="133" t="s">
        <v>50</v>
      </c>
      <c r="F16" s="133" t="s">
        <v>51</v>
      </c>
      <c r="G16" s="126" t="s">
        <v>218</v>
      </c>
      <c r="H16" s="126" t="s">
        <v>218</v>
      </c>
      <c r="I16" s="126" t="s">
        <v>218</v>
      </c>
      <c r="J16" s="126" t="s">
        <v>218</v>
      </c>
      <c r="K16" s="126" t="s">
        <v>218</v>
      </c>
      <c r="L16" s="43" t="s">
        <v>248</v>
      </c>
      <c r="M16" s="150"/>
      <c r="N16" s="116" t="s">
        <v>26</v>
      </c>
      <c r="O16" s="116"/>
      <c r="P16" s="116"/>
      <c r="Q16" s="116"/>
      <c r="R16" s="116"/>
      <c r="S16" s="116"/>
      <c r="T16" s="116"/>
      <c r="U16" s="116"/>
      <c r="V16" s="116"/>
      <c r="W16" s="116"/>
      <c r="X16" s="117"/>
      <c r="Y16" s="117"/>
    </row>
    <row r="17" spans="1:25" ht="16.5" x14ac:dyDescent="0.15">
      <c r="A17" s="114">
        <v>2025</v>
      </c>
      <c r="B17" s="108">
        <v>13</v>
      </c>
      <c r="C17" s="114" t="s">
        <v>205</v>
      </c>
      <c r="D17" s="114" t="s">
        <v>52</v>
      </c>
      <c r="E17" s="151" t="s">
        <v>53</v>
      </c>
      <c r="F17" s="151" t="s">
        <v>39</v>
      </c>
      <c r="G17" s="152">
        <v>46032</v>
      </c>
      <c r="H17" s="112">
        <v>46063</v>
      </c>
      <c r="I17" s="112" t="s">
        <v>352</v>
      </c>
      <c r="J17" s="112">
        <v>46032</v>
      </c>
      <c r="K17" s="113">
        <v>2950000</v>
      </c>
      <c r="L17" s="114" t="s">
        <v>248</v>
      </c>
      <c r="M17" s="153"/>
      <c r="N17" s="116" t="s">
        <v>26</v>
      </c>
      <c r="O17" s="116"/>
      <c r="P17" s="116"/>
      <c r="Q17" s="116"/>
      <c r="R17" s="116"/>
      <c r="S17" s="116"/>
      <c r="T17" s="116"/>
      <c r="U17" s="116"/>
      <c r="V17" s="116"/>
      <c r="W17" s="116"/>
      <c r="X17" s="117"/>
      <c r="Y17" s="154"/>
    </row>
    <row r="18" spans="1:25" ht="16.5" x14ac:dyDescent="0.15">
      <c r="A18" s="108">
        <v>2025</v>
      </c>
      <c r="B18" s="108">
        <v>14</v>
      </c>
      <c r="C18" s="108" t="s">
        <v>207</v>
      </c>
      <c r="D18" s="108" t="s">
        <v>54</v>
      </c>
      <c r="E18" s="110" t="s">
        <v>55</v>
      </c>
      <c r="F18" s="110" t="s">
        <v>104</v>
      </c>
      <c r="G18" s="111">
        <v>45778</v>
      </c>
      <c r="H18" s="112">
        <v>45961</v>
      </c>
      <c r="I18" s="112"/>
      <c r="J18" s="112"/>
      <c r="K18" s="113">
        <v>56800000</v>
      </c>
      <c r="L18" s="114" t="s">
        <v>248</v>
      </c>
      <c r="M18" s="129"/>
      <c r="N18" s="115" t="s">
        <v>42</v>
      </c>
      <c r="O18" s="116"/>
      <c r="P18" s="116"/>
      <c r="Q18" s="116"/>
      <c r="R18" s="116"/>
      <c r="S18" s="116"/>
      <c r="T18" s="116"/>
      <c r="U18" s="116"/>
      <c r="V18" s="116"/>
      <c r="W18" s="116"/>
      <c r="X18" s="117"/>
      <c r="Y18" s="155"/>
    </row>
    <row r="19" spans="1:25" ht="148.5" x14ac:dyDescent="0.15">
      <c r="A19" s="43">
        <v>2025</v>
      </c>
      <c r="B19" s="42">
        <v>15</v>
      </c>
      <c r="C19" s="156" t="s">
        <v>529</v>
      </c>
      <c r="D19" s="43" t="s">
        <v>56</v>
      </c>
      <c r="E19" s="157" t="s">
        <v>57</v>
      </c>
      <c r="F19" s="133" t="s">
        <v>271</v>
      </c>
      <c r="G19" s="116">
        <v>45636</v>
      </c>
      <c r="H19" s="126">
        <v>45828</v>
      </c>
      <c r="I19" s="126" t="s">
        <v>248</v>
      </c>
      <c r="J19" s="126">
        <v>45723</v>
      </c>
      <c r="K19" s="130">
        <v>10000000</v>
      </c>
      <c r="L19" s="43" t="s">
        <v>248</v>
      </c>
      <c r="M19" s="150"/>
      <c r="N19" s="125" t="s">
        <v>26</v>
      </c>
      <c r="O19" s="125"/>
      <c r="P19" s="125"/>
      <c r="Q19" s="125"/>
      <c r="R19" s="125"/>
      <c r="S19" s="125"/>
      <c r="T19" s="125"/>
      <c r="U19" s="125"/>
      <c r="V19" s="125"/>
      <c r="W19" s="125"/>
      <c r="X19" s="154"/>
      <c r="Y19" s="117"/>
    </row>
    <row r="20" spans="1:25" ht="16.5" x14ac:dyDescent="0.15">
      <c r="A20" s="135">
        <v>2025</v>
      </c>
      <c r="B20" s="135">
        <v>16</v>
      </c>
      <c r="C20" s="140" t="s">
        <v>205</v>
      </c>
      <c r="D20" s="135" t="s">
        <v>58</v>
      </c>
      <c r="E20" s="136" t="s">
        <v>59</v>
      </c>
      <c r="F20" s="136"/>
      <c r="G20" s="137"/>
      <c r="H20" s="138"/>
      <c r="I20" s="158"/>
      <c r="J20" s="158"/>
      <c r="K20" s="135" t="s">
        <v>26</v>
      </c>
      <c r="L20" s="135" t="s">
        <v>218</v>
      </c>
      <c r="M20" s="159"/>
      <c r="N20" s="160" t="s">
        <v>26</v>
      </c>
      <c r="O20" s="160" t="s">
        <v>26</v>
      </c>
      <c r="P20" s="160" t="s">
        <v>26</v>
      </c>
      <c r="Q20" s="160" t="s">
        <v>26</v>
      </c>
      <c r="R20" s="160" t="s">
        <v>26</v>
      </c>
      <c r="S20" s="160" t="s">
        <v>26</v>
      </c>
      <c r="T20" s="160" t="s">
        <v>26</v>
      </c>
      <c r="U20" s="160" t="s">
        <v>26</v>
      </c>
      <c r="V20" s="160" t="s">
        <v>26</v>
      </c>
      <c r="W20" s="160" t="s">
        <v>26</v>
      </c>
      <c r="X20" s="155"/>
      <c r="Y20" s="117"/>
    </row>
    <row r="21" spans="1:25" ht="409.5" x14ac:dyDescent="0.15">
      <c r="A21" s="114">
        <v>2025</v>
      </c>
      <c r="B21" s="108">
        <v>17</v>
      </c>
      <c r="C21" s="114" t="s">
        <v>205</v>
      </c>
      <c r="D21" s="114" t="s">
        <v>60</v>
      </c>
      <c r="E21" s="151" t="s">
        <v>61</v>
      </c>
      <c r="F21" s="151" t="s">
        <v>62</v>
      </c>
      <c r="G21" s="152"/>
      <c r="H21" s="112"/>
      <c r="I21" s="112"/>
      <c r="J21" s="112" t="s">
        <v>542</v>
      </c>
      <c r="K21" s="113">
        <f>23000000+114000000</f>
        <v>137000000</v>
      </c>
      <c r="L21" s="114" t="s">
        <v>248</v>
      </c>
      <c r="M21" s="161" t="s">
        <v>543</v>
      </c>
      <c r="N21" s="152" t="s">
        <v>26</v>
      </c>
      <c r="O21" s="152"/>
      <c r="P21" s="152"/>
      <c r="Q21" s="152"/>
      <c r="R21" s="152"/>
      <c r="S21" s="152"/>
      <c r="T21" s="152"/>
      <c r="U21" s="152"/>
      <c r="V21" s="152"/>
      <c r="W21" s="152"/>
      <c r="X21" s="162"/>
      <c r="Y21" s="162"/>
    </row>
    <row r="22" spans="1:25" ht="198" x14ac:dyDescent="0.15">
      <c r="A22" s="114">
        <v>2025</v>
      </c>
      <c r="B22" s="108">
        <v>18</v>
      </c>
      <c r="C22" s="114" t="s">
        <v>212</v>
      </c>
      <c r="D22" s="114" t="s">
        <v>63</v>
      </c>
      <c r="E22" s="151" t="s">
        <v>544</v>
      </c>
      <c r="F22" s="151" t="s">
        <v>545</v>
      </c>
      <c r="G22" s="152">
        <v>45992</v>
      </c>
      <c r="H22" s="112">
        <v>46295</v>
      </c>
      <c r="I22" s="112" t="s">
        <v>248</v>
      </c>
      <c r="J22" s="112">
        <v>45807</v>
      </c>
      <c r="K22" s="113">
        <v>420000000</v>
      </c>
      <c r="L22" s="114" t="s">
        <v>352</v>
      </c>
      <c r="M22" s="161" t="s">
        <v>546</v>
      </c>
      <c r="N22" s="116" t="s">
        <v>26</v>
      </c>
      <c r="O22" s="116"/>
      <c r="P22" s="116"/>
      <c r="Q22" s="116"/>
      <c r="R22" s="116"/>
      <c r="S22" s="116"/>
      <c r="T22" s="116"/>
      <c r="U22" s="116"/>
      <c r="V22" s="116"/>
      <c r="W22" s="116"/>
      <c r="X22" s="117" t="s">
        <v>547</v>
      </c>
      <c r="Y22" s="163"/>
    </row>
    <row r="23" spans="1:25" ht="16.5" x14ac:dyDescent="0.15">
      <c r="A23" s="114">
        <v>2025</v>
      </c>
      <c r="B23" s="108">
        <v>19</v>
      </c>
      <c r="C23" s="114" t="s">
        <v>205</v>
      </c>
      <c r="D23" s="114" t="s">
        <v>64</v>
      </c>
      <c r="E23" s="151" t="s">
        <v>65</v>
      </c>
      <c r="F23" s="151" t="s">
        <v>66</v>
      </c>
      <c r="G23" s="152">
        <v>45809</v>
      </c>
      <c r="H23" s="112">
        <v>46081</v>
      </c>
      <c r="I23" s="112"/>
      <c r="J23" s="112"/>
      <c r="K23" s="113">
        <v>224000000</v>
      </c>
      <c r="L23" s="114" t="s">
        <v>248</v>
      </c>
      <c r="M23" s="153" t="s">
        <v>548</v>
      </c>
      <c r="N23" s="116" t="s">
        <v>26</v>
      </c>
      <c r="O23" s="116"/>
      <c r="P23" s="116"/>
      <c r="Q23" s="116"/>
      <c r="R23" s="116"/>
      <c r="S23" s="116"/>
      <c r="T23" s="116"/>
      <c r="U23" s="116"/>
      <c r="V23" s="116"/>
      <c r="W23" s="116"/>
      <c r="X23" s="117"/>
      <c r="Y23" s="117"/>
    </row>
    <row r="24" spans="1:25" ht="16.5" x14ac:dyDescent="0.15">
      <c r="A24" s="114">
        <v>2025</v>
      </c>
      <c r="B24" s="108">
        <v>20</v>
      </c>
      <c r="C24" s="114" t="s">
        <v>208</v>
      </c>
      <c r="D24" s="114" t="s">
        <v>67</v>
      </c>
      <c r="E24" s="151" t="s">
        <v>68</v>
      </c>
      <c r="F24" s="151" t="s">
        <v>69</v>
      </c>
      <c r="G24" s="152">
        <v>45856</v>
      </c>
      <c r="H24" s="112">
        <v>46173</v>
      </c>
      <c r="I24" s="112" t="s">
        <v>248</v>
      </c>
      <c r="J24" s="112">
        <v>45856</v>
      </c>
      <c r="K24" s="113">
        <v>605000000</v>
      </c>
      <c r="L24" s="114" t="s">
        <v>248</v>
      </c>
      <c r="M24" s="153"/>
      <c r="N24" s="116" t="s">
        <v>26</v>
      </c>
      <c r="O24" s="164"/>
      <c r="P24" s="164"/>
      <c r="Q24" s="164"/>
      <c r="R24" s="164"/>
      <c r="S24" s="164"/>
      <c r="T24" s="164"/>
      <c r="U24" s="164"/>
      <c r="V24" s="164"/>
      <c r="W24" s="164"/>
      <c r="X24" s="163"/>
      <c r="Y24" s="117"/>
    </row>
    <row r="25" spans="1:25" ht="16.5" x14ac:dyDescent="0.15">
      <c r="A25" s="108">
        <v>2025</v>
      </c>
      <c r="B25" s="108">
        <v>21</v>
      </c>
      <c r="C25" s="108" t="s">
        <v>208</v>
      </c>
      <c r="D25" s="108" t="s">
        <v>70</v>
      </c>
      <c r="E25" s="110" t="s">
        <v>71</v>
      </c>
      <c r="F25" s="110" t="s">
        <v>257</v>
      </c>
      <c r="G25" s="111">
        <v>45888</v>
      </c>
      <c r="H25" s="112">
        <v>46265</v>
      </c>
      <c r="I25" s="112" t="s">
        <v>248</v>
      </c>
      <c r="J25" s="112">
        <v>45841</v>
      </c>
      <c r="K25" s="113">
        <v>878000000</v>
      </c>
      <c r="L25" s="114" t="s">
        <v>248</v>
      </c>
      <c r="M25" s="129"/>
      <c r="N25" s="116" t="s">
        <v>26</v>
      </c>
      <c r="O25" s="116"/>
      <c r="P25" s="116"/>
      <c r="Q25" s="116"/>
      <c r="R25" s="116"/>
      <c r="S25" s="116"/>
      <c r="T25" s="116"/>
      <c r="U25" s="116"/>
      <c r="V25" s="116"/>
      <c r="W25" s="116"/>
      <c r="X25" s="117" t="s">
        <v>549</v>
      </c>
      <c r="Y25" s="155"/>
    </row>
    <row r="26" spans="1:25" ht="313.5" x14ac:dyDescent="0.15">
      <c r="A26" s="165">
        <v>2025</v>
      </c>
      <c r="B26" s="166">
        <v>22</v>
      </c>
      <c r="C26" s="165" t="s">
        <v>207</v>
      </c>
      <c r="D26" s="165" t="s">
        <v>72</v>
      </c>
      <c r="E26" s="167" t="s">
        <v>73</v>
      </c>
      <c r="F26" s="167" t="s">
        <v>74</v>
      </c>
      <c r="G26" s="168">
        <v>45838</v>
      </c>
      <c r="H26" s="169">
        <v>45959</v>
      </c>
      <c r="I26" s="112" t="s">
        <v>248</v>
      </c>
      <c r="J26" s="169">
        <v>45838</v>
      </c>
      <c r="K26" s="170">
        <v>23280500</v>
      </c>
      <c r="L26" s="165" t="s">
        <v>248</v>
      </c>
      <c r="M26" s="171"/>
      <c r="N26" s="146">
        <v>45962</v>
      </c>
      <c r="O26" s="146" t="s">
        <v>550</v>
      </c>
      <c r="P26" s="146" t="s">
        <v>75</v>
      </c>
      <c r="Q26" s="146">
        <v>45967</v>
      </c>
      <c r="R26" s="146"/>
      <c r="S26" s="146" t="s">
        <v>364</v>
      </c>
      <c r="T26" s="146" t="s">
        <v>362</v>
      </c>
      <c r="U26" s="146" t="s">
        <v>363</v>
      </c>
      <c r="V26" s="146" t="s">
        <v>363</v>
      </c>
      <c r="W26" s="146" t="s">
        <v>364</v>
      </c>
      <c r="X26" s="132" t="s">
        <v>551</v>
      </c>
      <c r="Y26" s="172"/>
    </row>
    <row r="27" spans="1:25" ht="16.5" x14ac:dyDescent="0.15">
      <c r="A27" s="114">
        <v>2025</v>
      </c>
      <c r="B27" s="108">
        <v>23</v>
      </c>
      <c r="C27" s="114" t="s">
        <v>207</v>
      </c>
      <c r="D27" s="114" t="s">
        <v>77</v>
      </c>
      <c r="E27" s="151" t="s">
        <v>552</v>
      </c>
      <c r="F27" s="151" t="s">
        <v>78</v>
      </c>
      <c r="G27" s="152">
        <v>45839</v>
      </c>
      <c r="H27" s="112"/>
      <c r="I27" s="112" t="s">
        <v>352</v>
      </c>
      <c r="J27" s="112">
        <v>45834</v>
      </c>
      <c r="K27" s="120">
        <v>149000000</v>
      </c>
      <c r="L27" s="114" t="s">
        <v>352</v>
      </c>
      <c r="M27" s="153" t="s">
        <v>553</v>
      </c>
      <c r="N27" s="116"/>
      <c r="O27" s="116"/>
      <c r="P27" s="116"/>
      <c r="Q27" s="116"/>
      <c r="R27" s="116"/>
      <c r="S27" s="116"/>
      <c r="T27" s="116"/>
      <c r="U27" s="116"/>
      <c r="V27" s="116"/>
      <c r="W27" s="116"/>
      <c r="X27" s="117"/>
      <c r="Y27" s="172"/>
    </row>
    <row r="28" spans="1:25" ht="16.5" x14ac:dyDescent="0.15">
      <c r="A28" s="135">
        <v>2025</v>
      </c>
      <c r="B28" s="135">
        <v>24</v>
      </c>
      <c r="C28" s="135" t="s">
        <v>207</v>
      </c>
      <c r="D28" s="135" t="s">
        <v>79</v>
      </c>
      <c r="E28" s="136" t="s">
        <v>80</v>
      </c>
      <c r="F28" s="136" t="s">
        <v>272</v>
      </c>
      <c r="G28" s="173">
        <v>45845</v>
      </c>
      <c r="H28" s="174">
        <v>45852</v>
      </c>
      <c r="I28" s="138" t="s">
        <v>218</v>
      </c>
      <c r="J28" s="138" t="s">
        <v>218</v>
      </c>
      <c r="K28" s="139">
        <v>756000</v>
      </c>
      <c r="L28" s="135" t="s">
        <v>218</v>
      </c>
      <c r="M28" s="159"/>
      <c r="N28" s="137">
        <v>45862</v>
      </c>
      <c r="O28" s="142" t="s">
        <v>199</v>
      </c>
      <c r="P28" s="142" t="s">
        <v>273</v>
      </c>
      <c r="Q28" s="175">
        <v>45862</v>
      </c>
      <c r="R28" s="175">
        <v>45852</v>
      </c>
      <c r="S28" s="155" t="s">
        <v>272</v>
      </c>
      <c r="T28" s="142" t="s">
        <v>274</v>
      </c>
      <c r="U28" s="155" t="s">
        <v>275</v>
      </c>
      <c r="V28" s="142" t="s">
        <v>276</v>
      </c>
      <c r="W28" s="142" t="s">
        <v>277</v>
      </c>
      <c r="X28" s="155"/>
      <c r="Y28" s="172"/>
    </row>
    <row r="29" spans="1:25" ht="16.5" x14ac:dyDescent="0.15">
      <c r="A29" s="140">
        <v>2025</v>
      </c>
      <c r="B29" s="135">
        <v>25</v>
      </c>
      <c r="C29" s="140" t="s">
        <v>278</v>
      </c>
      <c r="D29" s="140" t="s">
        <v>81</v>
      </c>
      <c r="E29" s="176" t="s">
        <v>82</v>
      </c>
      <c r="F29" s="176" t="s">
        <v>83</v>
      </c>
      <c r="G29" s="175">
        <v>45813</v>
      </c>
      <c r="H29" s="174">
        <v>45813</v>
      </c>
      <c r="I29" s="138" t="s">
        <v>218</v>
      </c>
      <c r="J29" s="138" t="s">
        <v>218</v>
      </c>
      <c r="K29" s="139">
        <v>37200</v>
      </c>
      <c r="L29" s="177" t="s">
        <v>218</v>
      </c>
      <c r="M29" s="178"/>
      <c r="N29" s="142">
        <v>45849</v>
      </c>
      <c r="O29" s="142" t="s">
        <v>237</v>
      </c>
      <c r="P29" s="142" t="s">
        <v>273</v>
      </c>
      <c r="Q29" s="175">
        <v>45849</v>
      </c>
      <c r="R29" s="175">
        <v>45841</v>
      </c>
      <c r="S29" s="155" t="s">
        <v>279</v>
      </c>
      <c r="T29" s="142" t="s">
        <v>280</v>
      </c>
      <c r="U29" s="155" t="s">
        <v>281</v>
      </c>
      <c r="V29" s="142" t="s">
        <v>282</v>
      </c>
      <c r="W29" s="142" t="s">
        <v>283</v>
      </c>
      <c r="X29" s="155"/>
      <c r="Y29" s="132"/>
    </row>
    <row r="30" spans="1:25" ht="16.5" x14ac:dyDescent="0.15">
      <c r="A30" s="108">
        <v>2025</v>
      </c>
      <c r="B30" s="108">
        <v>26</v>
      </c>
      <c r="C30" s="108" t="s">
        <v>211</v>
      </c>
      <c r="D30" s="108" t="s">
        <v>84</v>
      </c>
      <c r="E30" s="110" t="s">
        <v>85</v>
      </c>
      <c r="F30" s="108" t="s">
        <v>343</v>
      </c>
      <c r="G30" s="111">
        <v>45870</v>
      </c>
      <c r="H30" s="112">
        <v>45747</v>
      </c>
      <c r="I30" s="112" t="s">
        <v>248</v>
      </c>
      <c r="J30" s="112">
        <v>45856</v>
      </c>
      <c r="K30" s="113">
        <v>172727273</v>
      </c>
      <c r="L30" s="114" t="s">
        <v>248</v>
      </c>
      <c r="M30" s="129"/>
      <c r="N30" s="179" t="s">
        <v>26</v>
      </c>
      <c r="O30" s="116"/>
      <c r="P30" s="116"/>
      <c r="Q30" s="116"/>
      <c r="R30" s="116"/>
      <c r="S30" s="116"/>
      <c r="T30" s="116"/>
      <c r="U30" s="116"/>
      <c r="V30" s="116"/>
      <c r="W30" s="116"/>
      <c r="X30" s="117"/>
      <c r="Y30" s="117"/>
    </row>
    <row r="31" spans="1:25" ht="16.5" x14ac:dyDescent="0.15">
      <c r="A31" s="135">
        <v>2025</v>
      </c>
      <c r="B31" s="135">
        <v>27</v>
      </c>
      <c r="C31" s="135" t="s">
        <v>211</v>
      </c>
      <c r="D31" s="135" t="s">
        <v>86</v>
      </c>
      <c r="E31" s="136" t="s">
        <v>87</v>
      </c>
      <c r="F31" s="136" t="s">
        <v>88</v>
      </c>
      <c r="G31" s="137">
        <v>45817</v>
      </c>
      <c r="H31" s="138">
        <v>45898</v>
      </c>
      <c r="I31" s="138" t="s">
        <v>248</v>
      </c>
      <c r="J31" s="138">
        <v>45827</v>
      </c>
      <c r="K31" s="139">
        <v>10060000</v>
      </c>
      <c r="L31" s="140" t="s">
        <v>554</v>
      </c>
      <c r="M31" s="159"/>
      <c r="N31" s="180" t="s">
        <v>76</v>
      </c>
      <c r="O31" s="142"/>
      <c r="P31" s="142"/>
      <c r="Q31" s="142"/>
      <c r="R31" s="142"/>
      <c r="S31" s="142"/>
      <c r="T31" s="142"/>
      <c r="U31" s="142"/>
      <c r="V31" s="142"/>
      <c r="W31" s="142"/>
      <c r="X31" s="155"/>
      <c r="Y31" s="132"/>
    </row>
    <row r="32" spans="1:25" ht="16.5" x14ac:dyDescent="0.15">
      <c r="A32" s="135">
        <v>2025</v>
      </c>
      <c r="B32" s="135">
        <v>28</v>
      </c>
      <c r="C32" s="135" t="s">
        <v>211</v>
      </c>
      <c r="D32" s="135" t="s">
        <v>89</v>
      </c>
      <c r="E32" s="136" t="s">
        <v>90</v>
      </c>
      <c r="F32" s="136" t="s">
        <v>88</v>
      </c>
      <c r="G32" s="137">
        <v>45833</v>
      </c>
      <c r="H32" s="138">
        <v>45851</v>
      </c>
      <c r="I32" s="138" t="s">
        <v>248</v>
      </c>
      <c r="J32" s="138">
        <v>45831</v>
      </c>
      <c r="K32" s="139">
        <f>1470000+290000</f>
        <v>1760000</v>
      </c>
      <c r="L32" s="140" t="s">
        <v>555</v>
      </c>
      <c r="M32" s="159"/>
      <c r="N32" s="137" t="s">
        <v>556</v>
      </c>
      <c r="O32" s="142"/>
      <c r="P32" s="142"/>
      <c r="Q32" s="142"/>
      <c r="R32" s="142"/>
      <c r="S32" s="142"/>
      <c r="T32" s="142"/>
      <c r="U32" s="142"/>
      <c r="V32" s="142"/>
      <c r="W32" s="142"/>
      <c r="X32" s="155"/>
      <c r="Y32" s="117"/>
    </row>
    <row r="33" spans="1:25" ht="99" x14ac:dyDescent="0.15">
      <c r="A33" s="114">
        <v>2025</v>
      </c>
      <c r="B33" s="108">
        <v>29</v>
      </c>
      <c r="C33" s="114" t="s">
        <v>212</v>
      </c>
      <c r="D33" s="114" t="s">
        <v>91</v>
      </c>
      <c r="E33" s="151" t="s">
        <v>92</v>
      </c>
      <c r="F33" s="181" t="s">
        <v>530</v>
      </c>
      <c r="G33" s="182">
        <v>45261</v>
      </c>
      <c r="H33" s="182">
        <v>46112</v>
      </c>
      <c r="I33" s="112" t="s">
        <v>248</v>
      </c>
      <c r="J33" s="182">
        <v>45920</v>
      </c>
      <c r="K33" s="113">
        <v>1416121000</v>
      </c>
      <c r="L33" s="114" t="s">
        <v>248</v>
      </c>
      <c r="M33" s="183" t="s">
        <v>93</v>
      </c>
      <c r="N33" s="116"/>
      <c r="O33" s="116"/>
      <c r="P33" s="116"/>
      <c r="Q33" s="116"/>
      <c r="R33" s="116"/>
      <c r="S33" s="116"/>
      <c r="T33" s="116"/>
      <c r="U33" s="116"/>
      <c r="V33" s="116"/>
      <c r="W33" s="116"/>
      <c r="X33" s="117"/>
      <c r="Y33" s="162"/>
    </row>
    <row r="34" spans="1:25" ht="16.5" x14ac:dyDescent="0.15">
      <c r="A34" s="135">
        <v>2025</v>
      </c>
      <c r="B34" s="135">
        <v>30</v>
      </c>
      <c r="C34" s="135" t="s">
        <v>162</v>
      </c>
      <c r="D34" s="135" t="s">
        <v>94</v>
      </c>
      <c r="E34" s="136" t="s">
        <v>95</v>
      </c>
      <c r="F34" s="136" t="s">
        <v>96</v>
      </c>
      <c r="G34" s="137">
        <v>45835</v>
      </c>
      <c r="H34" s="138">
        <v>45838</v>
      </c>
      <c r="I34" s="138" t="s">
        <v>218</v>
      </c>
      <c r="J34" s="138" t="s">
        <v>218</v>
      </c>
      <c r="K34" s="139">
        <v>165000</v>
      </c>
      <c r="L34" s="135" t="s">
        <v>218</v>
      </c>
      <c r="M34" s="159"/>
      <c r="N34" s="137">
        <v>45875</v>
      </c>
      <c r="O34" s="142" t="s">
        <v>197</v>
      </c>
      <c r="P34" s="142" t="s">
        <v>340</v>
      </c>
      <c r="Q34" s="142">
        <v>45874</v>
      </c>
      <c r="R34" s="142">
        <v>45838</v>
      </c>
      <c r="S34" s="142" t="s">
        <v>339</v>
      </c>
      <c r="T34" s="142" t="s">
        <v>336</v>
      </c>
      <c r="U34" s="142" t="s">
        <v>341</v>
      </c>
      <c r="V34" s="142" t="s">
        <v>342</v>
      </c>
      <c r="W34" s="142" t="s">
        <v>338</v>
      </c>
      <c r="X34" s="155"/>
      <c r="Y34" s="162"/>
    </row>
    <row r="35" spans="1:25" ht="16.5" x14ac:dyDescent="0.15">
      <c r="A35" s="184">
        <v>2025</v>
      </c>
      <c r="B35" s="185">
        <v>31</v>
      </c>
      <c r="C35" s="184" t="s">
        <v>209</v>
      </c>
      <c r="D35" s="184" t="s">
        <v>97</v>
      </c>
      <c r="E35" s="186" t="s">
        <v>98</v>
      </c>
      <c r="F35" s="186" t="s">
        <v>88</v>
      </c>
      <c r="G35" s="187">
        <v>45793</v>
      </c>
      <c r="H35" s="188">
        <v>45898</v>
      </c>
      <c r="I35" s="188" t="s">
        <v>248</v>
      </c>
      <c r="J35" s="188">
        <v>45761</v>
      </c>
      <c r="K35" s="189">
        <v>3450000</v>
      </c>
      <c r="L35" s="184" t="s">
        <v>555</v>
      </c>
      <c r="M35" s="190"/>
      <c r="N35" s="137" t="s">
        <v>556</v>
      </c>
      <c r="O35" s="142"/>
      <c r="P35" s="142"/>
      <c r="Q35" s="142"/>
      <c r="R35" s="142"/>
      <c r="S35" s="142"/>
      <c r="T35" s="142"/>
      <c r="U35" s="142"/>
      <c r="V35" s="142"/>
      <c r="W35" s="142"/>
      <c r="X35" s="155"/>
      <c r="Y35" s="162"/>
    </row>
    <row r="36" spans="1:25" ht="16.5" x14ac:dyDescent="0.15">
      <c r="A36" s="140">
        <v>2025</v>
      </c>
      <c r="B36" s="135">
        <v>32</v>
      </c>
      <c r="C36" s="140" t="s">
        <v>210</v>
      </c>
      <c r="D36" s="140" t="s">
        <v>99</v>
      </c>
      <c r="E36" s="176" t="s">
        <v>100</v>
      </c>
      <c r="F36" s="176" t="s">
        <v>88</v>
      </c>
      <c r="G36" s="142">
        <v>45805</v>
      </c>
      <c r="H36" s="138">
        <v>45838</v>
      </c>
      <c r="I36" s="138" t="s">
        <v>248</v>
      </c>
      <c r="J36" s="191">
        <v>45805</v>
      </c>
      <c r="K36" s="139">
        <v>4070000</v>
      </c>
      <c r="L36" s="140" t="s">
        <v>555</v>
      </c>
      <c r="M36" s="178"/>
      <c r="N36" s="142" t="s">
        <v>556</v>
      </c>
      <c r="O36" s="142"/>
      <c r="P36" s="142"/>
      <c r="Q36" s="142"/>
      <c r="R36" s="142"/>
      <c r="S36" s="142"/>
      <c r="T36" s="142"/>
      <c r="U36" s="142"/>
      <c r="V36" s="142"/>
      <c r="W36" s="142"/>
      <c r="X36" s="155"/>
      <c r="Y36" s="162"/>
    </row>
    <row r="37" spans="1:25" ht="16.5" x14ac:dyDescent="0.15">
      <c r="A37" s="108">
        <v>2025</v>
      </c>
      <c r="B37" s="108">
        <v>33</v>
      </c>
      <c r="C37" s="108" t="s">
        <v>531</v>
      </c>
      <c r="D37" s="108" t="s">
        <v>101</v>
      </c>
      <c r="E37" s="110" t="s">
        <v>557</v>
      </c>
      <c r="F37" s="110" t="s">
        <v>558</v>
      </c>
      <c r="G37" s="111">
        <v>45800</v>
      </c>
      <c r="H37" s="112">
        <v>46081</v>
      </c>
      <c r="I37" s="112" t="s">
        <v>352</v>
      </c>
      <c r="J37" s="112">
        <v>45799</v>
      </c>
      <c r="K37" s="113">
        <v>1320000</v>
      </c>
      <c r="L37" s="114" t="s">
        <v>559</v>
      </c>
      <c r="M37" s="129" t="s">
        <v>560</v>
      </c>
      <c r="N37" s="115"/>
      <c r="O37" s="116"/>
      <c r="P37" s="116"/>
      <c r="Q37" s="116"/>
      <c r="R37" s="116"/>
      <c r="S37" s="116"/>
      <c r="T37" s="116"/>
      <c r="U37" s="116"/>
      <c r="V37" s="116"/>
      <c r="W37" s="116"/>
      <c r="X37" s="117"/>
      <c r="Y37" s="192"/>
    </row>
    <row r="38" spans="1:25" ht="16.5" x14ac:dyDescent="0.15">
      <c r="A38" s="42">
        <v>2025</v>
      </c>
      <c r="B38" s="42">
        <v>34</v>
      </c>
      <c r="C38" s="43" t="s">
        <v>213</v>
      </c>
      <c r="D38" s="43" t="s">
        <v>102</v>
      </c>
      <c r="E38" s="133" t="s">
        <v>103</v>
      </c>
      <c r="F38" s="133" t="s">
        <v>104</v>
      </c>
      <c r="G38" s="115">
        <v>45809</v>
      </c>
      <c r="H38" s="126">
        <v>45869</v>
      </c>
      <c r="I38" s="126"/>
      <c r="J38" s="126"/>
      <c r="K38" s="130">
        <v>450000</v>
      </c>
      <c r="L38" s="193" t="s">
        <v>218</v>
      </c>
      <c r="M38" s="150"/>
      <c r="N38" s="116"/>
      <c r="O38" s="116"/>
      <c r="P38" s="116"/>
      <c r="Q38" s="116"/>
      <c r="R38" s="116"/>
      <c r="S38" s="116"/>
      <c r="T38" s="116"/>
      <c r="U38" s="116"/>
      <c r="V38" s="116"/>
      <c r="W38" s="116"/>
      <c r="X38" s="117"/>
      <c r="Y38" s="117"/>
    </row>
    <row r="39" spans="1:25" ht="16.5" x14ac:dyDescent="0.15">
      <c r="A39" s="42">
        <v>2025</v>
      </c>
      <c r="B39" s="42">
        <v>35</v>
      </c>
      <c r="C39" s="43" t="s">
        <v>213</v>
      </c>
      <c r="D39" s="43" t="s">
        <v>105</v>
      </c>
      <c r="E39" s="133" t="s">
        <v>106</v>
      </c>
      <c r="F39" s="133" t="s">
        <v>104</v>
      </c>
      <c r="G39" s="111"/>
      <c r="H39" s="112"/>
      <c r="I39" s="126"/>
      <c r="J39" s="126"/>
      <c r="K39" s="130">
        <v>190000</v>
      </c>
      <c r="L39" s="193" t="s">
        <v>218</v>
      </c>
      <c r="M39" s="150"/>
      <c r="N39" s="116"/>
      <c r="O39" s="116"/>
      <c r="P39" s="116"/>
      <c r="Q39" s="116"/>
      <c r="R39" s="116"/>
      <c r="S39" s="116"/>
      <c r="T39" s="116"/>
      <c r="U39" s="116"/>
      <c r="V39" s="116"/>
      <c r="W39" s="116"/>
      <c r="X39" s="117"/>
      <c r="Y39" s="117"/>
    </row>
    <row r="40" spans="1:25" ht="16.5" x14ac:dyDescent="0.15">
      <c r="A40" s="135">
        <v>2025</v>
      </c>
      <c r="B40" s="135">
        <v>36</v>
      </c>
      <c r="C40" s="140" t="s">
        <v>214</v>
      </c>
      <c r="D40" s="140" t="s">
        <v>107</v>
      </c>
      <c r="E40" s="176" t="s">
        <v>108</v>
      </c>
      <c r="F40" s="176" t="s">
        <v>109</v>
      </c>
      <c r="G40" s="142">
        <v>45838</v>
      </c>
      <c r="H40" s="138">
        <v>45838</v>
      </c>
      <c r="I40" s="138"/>
      <c r="J40" s="138"/>
      <c r="K40" s="139">
        <v>8000</v>
      </c>
      <c r="L40" s="177" t="s">
        <v>218</v>
      </c>
      <c r="M40" s="178"/>
      <c r="N40" s="142">
        <v>45853</v>
      </c>
      <c r="O40" s="142" t="s">
        <v>197</v>
      </c>
      <c r="P40" s="142" t="s">
        <v>75</v>
      </c>
      <c r="Q40" s="142">
        <v>45846</v>
      </c>
      <c r="R40" s="142">
        <v>45838</v>
      </c>
      <c r="S40" s="142" t="s">
        <v>284</v>
      </c>
      <c r="T40" s="142" t="s">
        <v>285</v>
      </c>
      <c r="U40" s="142" t="s">
        <v>286</v>
      </c>
      <c r="V40" s="142" t="s">
        <v>109</v>
      </c>
      <c r="W40" s="142" t="s">
        <v>287</v>
      </c>
      <c r="X40" s="155"/>
      <c r="Y40" s="155"/>
    </row>
    <row r="41" spans="1:25" ht="16.5" x14ac:dyDescent="0.15">
      <c r="A41" s="135">
        <v>2025</v>
      </c>
      <c r="B41" s="135">
        <v>37</v>
      </c>
      <c r="C41" s="140" t="s">
        <v>214</v>
      </c>
      <c r="D41" s="140" t="s">
        <v>110</v>
      </c>
      <c r="E41" s="176" t="s">
        <v>288</v>
      </c>
      <c r="F41" s="176" t="s">
        <v>289</v>
      </c>
      <c r="G41" s="142">
        <v>45834</v>
      </c>
      <c r="H41" s="138">
        <v>45834</v>
      </c>
      <c r="I41" s="138"/>
      <c r="J41" s="138"/>
      <c r="K41" s="139">
        <v>15000</v>
      </c>
      <c r="L41" s="177" t="s">
        <v>218</v>
      </c>
      <c r="M41" s="178"/>
      <c r="N41" s="142">
        <v>45853</v>
      </c>
      <c r="O41" s="142" t="s">
        <v>197</v>
      </c>
      <c r="P41" s="142" t="s">
        <v>75</v>
      </c>
      <c r="Q41" s="142">
        <v>45846</v>
      </c>
      <c r="R41" s="142">
        <v>45834</v>
      </c>
      <c r="S41" s="142" t="s">
        <v>290</v>
      </c>
      <c r="T41" s="142" t="s">
        <v>291</v>
      </c>
      <c r="U41" s="142" t="s">
        <v>292</v>
      </c>
      <c r="V41" s="142" t="s">
        <v>293</v>
      </c>
      <c r="W41" s="142" t="s">
        <v>294</v>
      </c>
      <c r="X41" s="155"/>
      <c r="Y41" s="143"/>
    </row>
    <row r="42" spans="1:25" ht="16.5" x14ac:dyDescent="0.15">
      <c r="A42" s="135">
        <v>2025</v>
      </c>
      <c r="B42" s="135">
        <v>38</v>
      </c>
      <c r="C42" s="140" t="s">
        <v>215</v>
      </c>
      <c r="D42" s="140" t="s">
        <v>216</v>
      </c>
      <c r="E42" s="176" t="s">
        <v>295</v>
      </c>
      <c r="F42" s="176" t="s">
        <v>217</v>
      </c>
      <c r="G42" s="175">
        <v>45836</v>
      </c>
      <c r="H42" s="138">
        <v>45838</v>
      </c>
      <c r="I42" s="138" t="s">
        <v>218</v>
      </c>
      <c r="J42" s="138"/>
      <c r="K42" s="139">
        <v>55000</v>
      </c>
      <c r="L42" s="177" t="s">
        <v>218</v>
      </c>
      <c r="M42" s="178"/>
      <c r="N42" s="142">
        <v>45853</v>
      </c>
      <c r="O42" s="142" t="s">
        <v>197</v>
      </c>
      <c r="P42" s="142" t="s">
        <v>75</v>
      </c>
      <c r="Q42" s="142">
        <v>45846</v>
      </c>
      <c r="R42" s="142">
        <v>45838</v>
      </c>
      <c r="S42" s="142" t="s">
        <v>296</v>
      </c>
      <c r="T42" s="142" t="s">
        <v>297</v>
      </c>
      <c r="U42" s="142" t="s">
        <v>298</v>
      </c>
      <c r="V42" s="142" t="s">
        <v>299</v>
      </c>
      <c r="W42" s="142" t="s">
        <v>300</v>
      </c>
      <c r="X42" s="155"/>
      <c r="Y42" s="155"/>
    </row>
    <row r="43" spans="1:25" ht="16.5" x14ac:dyDescent="0.15">
      <c r="A43" s="135">
        <v>2025</v>
      </c>
      <c r="B43" s="135">
        <v>39</v>
      </c>
      <c r="C43" s="140" t="s">
        <v>211</v>
      </c>
      <c r="D43" s="140" t="s">
        <v>220</v>
      </c>
      <c r="E43" s="176" t="s">
        <v>221</v>
      </c>
      <c r="F43" s="176" t="s">
        <v>222</v>
      </c>
      <c r="G43" s="175">
        <v>45811</v>
      </c>
      <c r="H43" s="174">
        <v>45811</v>
      </c>
      <c r="I43" s="138" t="s">
        <v>218</v>
      </c>
      <c r="J43" s="138"/>
      <c r="K43" s="139">
        <v>76000</v>
      </c>
      <c r="L43" s="177" t="s">
        <v>218</v>
      </c>
      <c r="M43" s="178"/>
      <c r="N43" s="142">
        <v>45846</v>
      </c>
      <c r="O43" s="142" t="s">
        <v>197</v>
      </c>
      <c r="P43" s="142" t="s">
        <v>200</v>
      </c>
      <c r="Q43" s="175">
        <v>45846</v>
      </c>
      <c r="R43" s="175">
        <v>45811</v>
      </c>
      <c r="S43" s="142" t="s">
        <v>232</v>
      </c>
      <c r="T43" s="142" t="s">
        <v>233</v>
      </c>
      <c r="U43" s="142" t="s">
        <v>234</v>
      </c>
      <c r="V43" s="142" t="s">
        <v>235</v>
      </c>
      <c r="W43" s="142" t="s">
        <v>232</v>
      </c>
      <c r="X43" s="155"/>
      <c r="Y43" s="172"/>
    </row>
    <row r="44" spans="1:25" ht="16.5" x14ac:dyDescent="0.15">
      <c r="A44" s="135">
        <v>2025</v>
      </c>
      <c r="B44" s="135">
        <v>40</v>
      </c>
      <c r="C44" s="140" t="s">
        <v>211</v>
      </c>
      <c r="D44" s="140" t="s">
        <v>223</v>
      </c>
      <c r="E44" s="176" t="s">
        <v>224</v>
      </c>
      <c r="F44" s="176" t="s">
        <v>225</v>
      </c>
      <c r="G44" s="175">
        <v>45831</v>
      </c>
      <c r="H44" s="174">
        <v>45831</v>
      </c>
      <c r="I44" s="138" t="s">
        <v>218</v>
      </c>
      <c r="J44" s="138"/>
      <c r="K44" s="139">
        <v>50000</v>
      </c>
      <c r="L44" s="177" t="s">
        <v>218</v>
      </c>
      <c r="M44" s="178"/>
      <c r="N44" s="142">
        <v>45846</v>
      </c>
      <c r="O44" s="142" t="s">
        <v>237</v>
      </c>
      <c r="P44" s="142" t="s">
        <v>238</v>
      </c>
      <c r="Q44" s="175">
        <v>45846</v>
      </c>
      <c r="R44" s="175">
        <v>45831</v>
      </c>
      <c r="S44" s="142" t="s">
        <v>236</v>
      </c>
      <c r="T44" s="142" t="s">
        <v>239</v>
      </c>
      <c r="U44" s="142" t="s">
        <v>240</v>
      </c>
      <c r="V44" s="142" t="s">
        <v>241</v>
      </c>
      <c r="W44" s="142" t="s">
        <v>236</v>
      </c>
      <c r="X44" s="155"/>
      <c r="Y44" s="132"/>
    </row>
    <row r="45" spans="1:25" ht="16.5" x14ac:dyDescent="0.15">
      <c r="A45" s="135">
        <v>2025</v>
      </c>
      <c r="B45" s="135">
        <v>41</v>
      </c>
      <c r="C45" s="140" t="s">
        <v>211</v>
      </c>
      <c r="D45" s="140" t="s">
        <v>226</v>
      </c>
      <c r="E45" s="176" t="s">
        <v>227</v>
      </c>
      <c r="F45" s="176" t="s">
        <v>228</v>
      </c>
      <c r="G45" s="175">
        <v>45821</v>
      </c>
      <c r="H45" s="174">
        <v>45821</v>
      </c>
      <c r="I45" s="138"/>
      <c r="J45" s="138"/>
      <c r="K45" s="139">
        <v>40000</v>
      </c>
      <c r="L45" s="177" t="s">
        <v>218</v>
      </c>
      <c r="M45" s="178"/>
      <c r="N45" s="142">
        <v>45846</v>
      </c>
      <c r="O45" s="142" t="s">
        <v>237</v>
      </c>
      <c r="P45" s="142" t="s">
        <v>238</v>
      </c>
      <c r="Q45" s="175">
        <v>45846</v>
      </c>
      <c r="R45" s="175">
        <v>45821</v>
      </c>
      <c r="S45" s="142" t="s">
        <v>243</v>
      </c>
      <c r="T45" s="142" t="s">
        <v>239</v>
      </c>
      <c r="U45" s="142" t="s">
        <v>240</v>
      </c>
      <c r="V45" s="142" t="s">
        <v>241</v>
      </c>
      <c r="W45" s="142" t="s">
        <v>244</v>
      </c>
      <c r="X45" s="155"/>
      <c r="Y45" s="117"/>
    </row>
    <row r="46" spans="1:25" ht="16.5" x14ac:dyDescent="0.15">
      <c r="A46" s="135">
        <v>2025</v>
      </c>
      <c r="B46" s="135">
        <v>42</v>
      </c>
      <c r="C46" s="140" t="s">
        <v>211</v>
      </c>
      <c r="D46" s="140" t="s">
        <v>229</v>
      </c>
      <c r="E46" s="176" t="s">
        <v>230</v>
      </c>
      <c r="F46" s="176" t="s">
        <v>231</v>
      </c>
      <c r="G46" s="175">
        <v>45821</v>
      </c>
      <c r="H46" s="174">
        <v>45821</v>
      </c>
      <c r="I46" s="138"/>
      <c r="J46" s="138"/>
      <c r="K46" s="139">
        <v>15000</v>
      </c>
      <c r="L46" s="177" t="s">
        <v>218</v>
      </c>
      <c r="M46" s="178"/>
      <c r="N46" s="142">
        <v>45846</v>
      </c>
      <c r="O46" s="142" t="s">
        <v>197</v>
      </c>
      <c r="P46" s="142" t="s">
        <v>200</v>
      </c>
      <c r="Q46" s="175">
        <v>45846</v>
      </c>
      <c r="R46" s="175">
        <v>45821</v>
      </c>
      <c r="S46" s="142" t="s">
        <v>245</v>
      </c>
      <c r="T46" s="142" t="s">
        <v>233</v>
      </c>
      <c r="U46" s="142" t="s">
        <v>234</v>
      </c>
      <c r="V46" s="142" t="s">
        <v>235</v>
      </c>
      <c r="W46" s="142" t="s">
        <v>246</v>
      </c>
      <c r="X46" s="155"/>
      <c r="Y46" s="172"/>
    </row>
    <row r="47" spans="1:25" ht="115.5" x14ac:dyDescent="0.15">
      <c r="A47" s="185">
        <v>2025</v>
      </c>
      <c r="B47" s="185">
        <v>43</v>
      </c>
      <c r="C47" s="184" t="s">
        <v>331</v>
      </c>
      <c r="D47" s="184" t="s">
        <v>561</v>
      </c>
      <c r="E47" s="186" t="s">
        <v>334</v>
      </c>
      <c r="F47" s="186" t="s">
        <v>247</v>
      </c>
      <c r="G47" s="187">
        <v>45839</v>
      </c>
      <c r="H47" s="188">
        <v>45981</v>
      </c>
      <c r="I47" s="188" t="s">
        <v>248</v>
      </c>
      <c r="J47" s="188">
        <v>45811</v>
      </c>
      <c r="K47" s="189">
        <v>23670000</v>
      </c>
      <c r="L47" s="184" t="s">
        <v>248</v>
      </c>
      <c r="M47" s="190"/>
      <c r="N47" s="142">
        <v>45905</v>
      </c>
      <c r="O47" s="142" t="s">
        <v>333</v>
      </c>
      <c r="P47" s="142" t="s">
        <v>75</v>
      </c>
      <c r="Q47" s="142">
        <v>45905</v>
      </c>
      <c r="R47" s="142">
        <v>45864</v>
      </c>
      <c r="S47" s="142" t="s">
        <v>332</v>
      </c>
      <c r="T47" s="142" t="s">
        <v>327</v>
      </c>
      <c r="U47" s="142" t="s">
        <v>328</v>
      </c>
      <c r="V47" s="142" t="s">
        <v>329</v>
      </c>
      <c r="W47" s="142" t="s">
        <v>330</v>
      </c>
      <c r="X47" s="143" t="s">
        <v>562</v>
      </c>
      <c r="Y47" s="132"/>
    </row>
    <row r="48" spans="1:25" ht="115.5" x14ac:dyDescent="0.15">
      <c r="A48" s="135">
        <v>2025</v>
      </c>
      <c r="B48" s="135">
        <v>44</v>
      </c>
      <c r="C48" s="140" t="s">
        <v>249</v>
      </c>
      <c r="D48" s="140" t="s">
        <v>250</v>
      </c>
      <c r="E48" s="176" t="s">
        <v>251</v>
      </c>
      <c r="F48" s="176" t="s">
        <v>252</v>
      </c>
      <c r="G48" s="142">
        <v>45842</v>
      </c>
      <c r="H48" s="142">
        <v>45842</v>
      </c>
      <c r="I48" s="138" t="s">
        <v>218</v>
      </c>
      <c r="J48" s="138"/>
      <c r="K48" s="139">
        <v>260000</v>
      </c>
      <c r="L48" s="177" t="s">
        <v>218</v>
      </c>
      <c r="M48" s="178"/>
      <c r="N48" s="142">
        <v>45846</v>
      </c>
      <c r="O48" s="142" t="s">
        <v>197</v>
      </c>
      <c r="P48" s="142" t="s">
        <v>75</v>
      </c>
      <c r="Q48" s="175">
        <v>45846</v>
      </c>
      <c r="R48" s="142">
        <v>45846</v>
      </c>
      <c r="S48" s="142" t="s">
        <v>258</v>
      </c>
      <c r="T48" s="142" t="s">
        <v>259</v>
      </c>
      <c r="U48" s="194" t="s">
        <v>261</v>
      </c>
      <c r="V48" s="142" t="s">
        <v>260</v>
      </c>
      <c r="W48" s="142" t="s">
        <v>258</v>
      </c>
      <c r="X48" s="155"/>
      <c r="Y48" s="172"/>
    </row>
    <row r="49" spans="1:25" ht="16.5" x14ac:dyDescent="0.15">
      <c r="A49" s="42">
        <v>2025</v>
      </c>
      <c r="B49" s="42">
        <v>45</v>
      </c>
      <c r="C49" s="43" t="s">
        <v>219</v>
      </c>
      <c r="D49" s="43" t="s">
        <v>301</v>
      </c>
      <c r="E49" s="133" t="s">
        <v>309</v>
      </c>
      <c r="F49" s="133" t="s">
        <v>302</v>
      </c>
      <c r="G49" s="126" t="s">
        <v>218</v>
      </c>
      <c r="H49" s="126" t="s">
        <v>218</v>
      </c>
      <c r="I49" s="126" t="s">
        <v>218</v>
      </c>
      <c r="J49" s="126" t="s">
        <v>218</v>
      </c>
      <c r="K49" s="126" t="s">
        <v>218</v>
      </c>
      <c r="L49" s="43" t="s">
        <v>248</v>
      </c>
      <c r="M49" s="150"/>
      <c r="N49" s="116"/>
      <c r="O49" s="116"/>
      <c r="P49" s="116"/>
      <c r="Q49" s="195"/>
      <c r="R49" s="116"/>
      <c r="S49" s="116"/>
      <c r="T49" s="116"/>
      <c r="U49" s="196"/>
      <c r="V49" s="116"/>
      <c r="W49" s="116"/>
      <c r="X49" s="117"/>
      <c r="Y49" s="117"/>
    </row>
    <row r="50" spans="1:25" ht="16.5" x14ac:dyDescent="0.15">
      <c r="A50" s="108">
        <v>2025</v>
      </c>
      <c r="B50" s="108">
        <v>46</v>
      </c>
      <c r="C50" s="114" t="s">
        <v>219</v>
      </c>
      <c r="D50" s="114" t="s">
        <v>563</v>
      </c>
      <c r="E50" s="151" t="s">
        <v>254</v>
      </c>
      <c r="F50" s="151" t="s">
        <v>255</v>
      </c>
      <c r="G50" s="152">
        <v>45852</v>
      </c>
      <c r="H50" s="112">
        <v>45976</v>
      </c>
      <c r="I50" s="112" t="s">
        <v>248</v>
      </c>
      <c r="J50" s="112">
        <v>45848</v>
      </c>
      <c r="K50" s="113">
        <v>25250000</v>
      </c>
      <c r="L50" s="114" t="s">
        <v>248</v>
      </c>
      <c r="M50" s="153"/>
      <c r="N50" s="116"/>
      <c r="O50" s="116"/>
      <c r="P50" s="116"/>
      <c r="Q50" s="116"/>
      <c r="R50" s="116"/>
      <c r="S50" s="116"/>
      <c r="T50" s="116"/>
      <c r="U50" s="116"/>
      <c r="V50" s="116"/>
      <c r="W50" s="116"/>
      <c r="X50" s="117"/>
      <c r="Y50" s="155"/>
    </row>
    <row r="51" spans="1:25" ht="16.5" x14ac:dyDescent="0.15">
      <c r="A51" s="108">
        <v>2025</v>
      </c>
      <c r="B51" s="108">
        <v>47</v>
      </c>
      <c r="C51" s="114" t="s">
        <v>219</v>
      </c>
      <c r="D51" s="114" t="s">
        <v>564</v>
      </c>
      <c r="E51" s="151" t="s">
        <v>565</v>
      </c>
      <c r="F51" s="151" t="s">
        <v>256</v>
      </c>
      <c r="G51" s="152">
        <v>45848</v>
      </c>
      <c r="H51" s="112">
        <v>46031</v>
      </c>
      <c r="I51" s="112" t="s">
        <v>248</v>
      </c>
      <c r="J51" s="112">
        <v>45840</v>
      </c>
      <c r="K51" s="113">
        <v>7980000</v>
      </c>
      <c r="L51" s="114" t="s">
        <v>248</v>
      </c>
      <c r="M51" s="153"/>
      <c r="N51" s="116"/>
      <c r="O51" s="116"/>
      <c r="P51" s="116"/>
      <c r="Q51" s="116"/>
      <c r="R51" s="116"/>
      <c r="S51" s="116"/>
      <c r="T51" s="116"/>
      <c r="U51" s="116"/>
      <c r="V51" s="116"/>
      <c r="W51" s="116"/>
      <c r="X51" s="117"/>
      <c r="Y51" s="155"/>
    </row>
    <row r="52" spans="1:25" ht="16.5" x14ac:dyDescent="0.15">
      <c r="A52" s="144">
        <v>2025</v>
      </c>
      <c r="B52" s="144">
        <v>48</v>
      </c>
      <c r="C52" s="44" t="s">
        <v>566</v>
      </c>
      <c r="D52" s="44" t="s">
        <v>303</v>
      </c>
      <c r="E52" s="145" t="s">
        <v>567</v>
      </c>
      <c r="F52" s="145" t="s">
        <v>568</v>
      </c>
      <c r="G52" s="146">
        <v>45878</v>
      </c>
      <c r="H52" s="147">
        <v>45880</v>
      </c>
      <c r="I52" s="147" t="s">
        <v>352</v>
      </c>
      <c r="J52" s="147">
        <v>45861</v>
      </c>
      <c r="K52" s="148">
        <v>490000</v>
      </c>
      <c r="L52" s="197" t="s">
        <v>253</v>
      </c>
      <c r="M52" s="198" t="s">
        <v>569</v>
      </c>
      <c r="N52" s="146">
        <v>45908</v>
      </c>
      <c r="O52" s="146" t="s">
        <v>197</v>
      </c>
      <c r="P52" s="146"/>
      <c r="Q52" s="146"/>
      <c r="R52" s="146">
        <v>45887</v>
      </c>
      <c r="S52" s="146" t="s">
        <v>570</v>
      </c>
      <c r="T52" s="146" t="s">
        <v>336</v>
      </c>
      <c r="U52" s="146" t="s">
        <v>571</v>
      </c>
      <c r="V52" s="146" t="s">
        <v>337</v>
      </c>
      <c r="W52" s="146" t="s">
        <v>338</v>
      </c>
      <c r="X52" s="172"/>
      <c r="Y52" s="162"/>
    </row>
    <row r="53" spans="1:25" ht="16.5" x14ac:dyDescent="0.15">
      <c r="A53" s="108">
        <v>2025</v>
      </c>
      <c r="B53" s="108">
        <v>49</v>
      </c>
      <c r="C53" s="114" t="s">
        <v>572</v>
      </c>
      <c r="D53" s="114" t="s">
        <v>305</v>
      </c>
      <c r="E53" s="151" t="s">
        <v>370</v>
      </c>
      <c r="F53" s="151" t="s">
        <v>306</v>
      </c>
      <c r="G53" s="152">
        <v>45888</v>
      </c>
      <c r="H53" s="112">
        <v>45976</v>
      </c>
      <c r="I53" s="112" t="s">
        <v>248</v>
      </c>
      <c r="J53" s="112">
        <v>45877</v>
      </c>
      <c r="K53" s="113">
        <v>18900000</v>
      </c>
      <c r="L53" s="114" t="s">
        <v>248</v>
      </c>
      <c r="M53" s="153"/>
      <c r="N53" s="116"/>
      <c r="O53" s="116"/>
      <c r="P53" s="116"/>
      <c r="Q53" s="116"/>
      <c r="R53" s="116"/>
      <c r="S53" s="116"/>
      <c r="T53" s="116"/>
      <c r="U53" s="116"/>
      <c r="V53" s="116"/>
      <c r="W53" s="116"/>
      <c r="X53" s="117"/>
      <c r="Y53" s="192"/>
    </row>
    <row r="54" spans="1:25" ht="16.5" x14ac:dyDescent="0.15">
      <c r="A54" s="108">
        <v>2025</v>
      </c>
      <c r="B54" s="108">
        <v>50</v>
      </c>
      <c r="C54" s="114" t="s">
        <v>307</v>
      </c>
      <c r="D54" s="114" t="s">
        <v>573</v>
      </c>
      <c r="E54" s="151" t="s">
        <v>574</v>
      </c>
      <c r="F54" s="151" t="s">
        <v>308</v>
      </c>
      <c r="G54" s="112" t="s">
        <v>218</v>
      </c>
      <c r="H54" s="112" t="s">
        <v>218</v>
      </c>
      <c r="I54" s="112" t="s">
        <v>218</v>
      </c>
      <c r="J54" s="112" t="s">
        <v>218</v>
      </c>
      <c r="K54" s="113">
        <v>17939200</v>
      </c>
      <c r="L54" s="114" t="s">
        <v>248</v>
      </c>
      <c r="M54" s="153"/>
      <c r="N54" s="116"/>
      <c r="O54" s="116"/>
      <c r="P54" s="116"/>
      <c r="Q54" s="116"/>
      <c r="R54" s="116"/>
      <c r="S54" s="116"/>
      <c r="T54" s="116"/>
      <c r="U54" s="116"/>
      <c r="V54" s="116"/>
      <c r="W54" s="116"/>
      <c r="X54" s="117"/>
      <c r="Y54" s="162"/>
    </row>
    <row r="55" spans="1:25" ht="16.5" x14ac:dyDescent="0.15">
      <c r="A55" s="140">
        <v>2025</v>
      </c>
      <c r="B55" s="140">
        <v>51</v>
      </c>
      <c r="C55" s="140" t="s">
        <v>314</v>
      </c>
      <c r="D55" s="140" t="s">
        <v>313</v>
      </c>
      <c r="E55" s="176" t="s">
        <v>315</v>
      </c>
      <c r="F55" s="176" t="s">
        <v>316</v>
      </c>
      <c r="G55" s="142">
        <v>45873</v>
      </c>
      <c r="H55" s="138">
        <v>45873</v>
      </c>
      <c r="I55" s="138" t="s">
        <v>253</v>
      </c>
      <c r="J55" s="138"/>
      <c r="K55" s="139">
        <v>200000</v>
      </c>
      <c r="L55" s="177" t="s">
        <v>218</v>
      </c>
      <c r="M55" s="178"/>
      <c r="N55" s="142">
        <v>45874</v>
      </c>
      <c r="O55" s="142" t="s">
        <v>237</v>
      </c>
      <c r="P55" s="142" t="s">
        <v>321</v>
      </c>
      <c r="Q55" s="142">
        <v>45874</v>
      </c>
      <c r="R55" s="142">
        <v>45873</v>
      </c>
      <c r="S55" s="142" t="s">
        <v>316</v>
      </c>
      <c r="T55" s="142" t="s">
        <v>318</v>
      </c>
      <c r="U55" s="142" t="s">
        <v>319</v>
      </c>
      <c r="V55" s="142" t="s">
        <v>322</v>
      </c>
      <c r="W55" s="142" t="s">
        <v>320</v>
      </c>
      <c r="X55" s="155"/>
      <c r="Y55" s="117"/>
    </row>
    <row r="56" spans="1:25" ht="16.5" x14ac:dyDescent="0.15">
      <c r="A56" s="114">
        <v>2025</v>
      </c>
      <c r="B56" s="114">
        <v>52</v>
      </c>
      <c r="C56" s="114" t="s">
        <v>331</v>
      </c>
      <c r="D56" s="114" t="s">
        <v>344</v>
      </c>
      <c r="E56" s="151" t="s">
        <v>368</v>
      </c>
      <c r="F56" s="151" t="s">
        <v>369</v>
      </c>
      <c r="G56" s="152">
        <v>45863</v>
      </c>
      <c r="H56" s="112">
        <v>46065</v>
      </c>
      <c r="I56" s="112" t="s">
        <v>248</v>
      </c>
      <c r="J56" s="112">
        <v>45862</v>
      </c>
      <c r="K56" s="113">
        <v>7650000</v>
      </c>
      <c r="L56" s="114" t="s">
        <v>248</v>
      </c>
      <c r="M56" s="153"/>
      <c r="N56" s="116"/>
      <c r="O56" s="116"/>
      <c r="P56" s="116"/>
      <c r="Q56" s="116"/>
      <c r="R56" s="116"/>
      <c r="S56" s="116"/>
      <c r="T56" s="116"/>
      <c r="U56" s="116"/>
      <c r="V56" s="116"/>
      <c r="W56" s="116"/>
      <c r="X56" s="117"/>
      <c r="Y56" s="117"/>
    </row>
    <row r="57" spans="1:25" ht="16.5" x14ac:dyDescent="0.15">
      <c r="A57" s="114">
        <v>2025</v>
      </c>
      <c r="B57" s="114">
        <v>55</v>
      </c>
      <c r="C57" s="114" t="s">
        <v>211</v>
      </c>
      <c r="D57" s="114" t="s">
        <v>345</v>
      </c>
      <c r="E57" s="151" t="s">
        <v>359</v>
      </c>
      <c r="F57" s="151" t="s">
        <v>360</v>
      </c>
      <c r="G57" s="152">
        <v>45887</v>
      </c>
      <c r="H57" s="112">
        <v>46112</v>
      </c>
      <c r="I57" s="112" t="s">
        <v>352</v>
      </c>
      <c r="J57" s="112">
        <v>45876</v>
      </c>
      <c r="K57" s="113">
        <v>189000000</v>
      </c>
      <c r="L57" s="114" t="s">
        <v>555</v>
      </c>
      <c r="M57" s="153"/>
      <c r="N57" s="116"/>
      <c r="O57" s="116"/>
      <c r="P57" s="116"/>
      <c r="Q57" s="116"/>
      <c r="R57" s="116"/>
      <c r="S57" s="116"/>
      <c r="T57" s="116"/>
      <c r="U57" s="116"/>
      <c r="V57" s="116"/>
      <c r="W57" s="116"/>
      <c r="X57" s="117"/>
      <c r="Y57" s="172"/>
    </row>
    <row r="58" spans="1:25" ht="33" x14ac:dyDescent="0.15">
      <c r="A58" s="140">
        <v>2025</v>
      </c>
      <c r="B58" s="140">
        <v>56</v>
      </c>
      <c r="C58" s="140" t="s">
        <v>209</v>
      </c>
      <c r="D58" s="140" t="s">
        <v>346</v>
      </c>
      <c r="E58" s="176" t="s">
        <v>575</v>
      </c>
      <c r="F58" s="176" t="s">
        <v>347</v>
      </c>
      <c r="G58" s="142">
        <v>45833</v>
      </c>
      <c r="H58" s="138">
        <v>45846</v>
      </c>
      <c r="I58" s="138" t="s">
        <v>248</v>
      </c>
      <c r="J58" s="138">
        <v>45832</v>
      </c>
      <c r="K58" s="139">
        <v>220000</v>
      </c>
      <c r="L58" s="140" t="s">
        <v>555</v>
      </c>
      <c r="M58" s="199" t="s">
        <v>348</v>
      </c>
      <c r="N58" s="142" t="s">
        <v>556</v>
      </c>
      <c r="O58" s="142"/>
      <c r="P58" s="142"/>
      <c r="Q58" s="142"/>
      <c r="R58" s="142"/>
      <c r="S58" s="142"/>
      <c r="T58" s="142"/>
      <c r="U58" s="142"/>
      <c r="V58" s="142"/>
      <c r="W58" s="142"/>
      <c r="X58" s="155"/>
      <c r="Y58" s="172"/>
    </row>
    <row r="59" spans="1:25" ht="33" x14ac:dyDescent="0.15">
      <c r="A59" s="140">
        <v>2025</v>
      </c>
      <c r="B59" s="140">
        <v>57</v>
      </c>
      <c r="C59" s="140" t="s">
        <v>211</v>
      </c>
      <c r="D59" s="140" t="s">
        <v>349</v>
      </c>
      <c r="E59" s="176" t="s">
        <v>350</v>
      </c>
      <c r="F59" s="176" t="s">
        <v>351</v>
      </c>
      <c r="G59" s="142">
        <v>45809</v>
      </c>
      <c r="H59" s="138">
        <v>45869</v>
      </c>
      <c r="I59" s="138" t="s">
        <v>352</v>
      </c>
      <c r="J59" s="138"/>
      <c r="K59" s="139">
        <v>100000</v>
      </c>
      <c r="L59" s="177" t="s">
        <v>218</v>
      </c>
      <c r="M59" s="199" t="s">
        <v>353</v>
      </c>
      <c r="N59" s="142">
        <v>45878</v>
      </c>
      <c r="O59" s="142" t="s">
        <v>197</v>
      </c>
      <c r="P59" s="142" t="s">
        <v>75</v>
      </c>
      <c r="Q59" s="142">
        <v>45887</v>
      </c>
      <c r="R59" s="142">
        <v>45869</v>
      </c>
      <c r="S59" s="142" t="s">
        <v>354</v>
      </c>
      <c r="T59" s="142" t="s">
        <v>355</v>
      </c>
      <c r="U59" s="142" t="s">
        <v>356</v>
      </c>
      <c r="V59" s="142" t="s">
        <v>357</v>
      </c>
      <c r="W59" s="142" t="s">
        <v>354</v>
      </c>
      <c r="X59" s="155"/>
      <c r="Y59" s="117"/>
    </row>
    <row r="60" spans="1:25" ht="16.5" x14ac:dyDescent="0.15">
      <c r="A60" s="140">
        <v>2025</v>
      </c>
      <c r="B60" s="140">
        <v>61</v>
      </c>
      <c r="C60" s="140" t="s">
        <v>375</v>
      </c>
      <c r="D60" s="140" t="s">
        <v>371</v>
      </c>
      <c r="E60" s="176" t="s">
        <v>372</v>
      </c>
      <c r="F60" s="176" t="s">
        <v>373</v>
      </c>
      <c r="G60" s="142">
        <v>45875</v>
      </c>
      <c r="H60" s="138">
        <v>45875</v>
      </c>
      <c r="I60" s="138" t="s">
        <v>218</v>
      </c>
      <c r="J60" s="138">
        <v>45868</v>
      </c>
      <c r="K60" s="139">
        <v>50000</v>
      </c>
      <c r="L60" s="177" t="s">
        <v>218</v>
      </c>
      <c r="M60" s="178"/>
      <c r="N60" s="142">
        <v>45896</v>
      </c>
      <c r="O60" s="142" t="s">
        <v>237</v>
      </c>
      <c r="P60" s="142"/>
      <c r="Q60" s="142">
        <v>45891</v>
      </c>
      <c r="R60" s="142">
        <v>45875</v>
      </c>
      <c r="S60" s="142" t="s">
        <v>576</v>
      </c>
      <c r="T60" s="142" t="s">
        <v>361</v>
      </c>
      <c r="U60" s="142" t="s">
        <v>577</v>
      </c>
      <c r="V60" s="142" t="s">
        <v>578</v>
      </c>
      <c r="W60" s="142" t="s">
        <v>579</v>
      </c>
      <c r="X60" s="155"/>
      <c r="Y60" s="172"/>
    </row>
    <row r="61" spans="1:25" ht="16.5" x14ac:dyDescent="0.15">
      <c r="A61" s="140">
        <v>2025</v>
      </c>
      <c r="B61" s="140">
        <v>62</v>
      </c>
      <c r="C61" s="140" t="s">
        <v>375</v>
      </c>
      <c r="D61" s="140" t="s">
        <v>376</v>
      </c>
      <c r="E61" s="176" t="s">
        <v>377</v>
      </c>
      <c r="F61" s="176" t="s">
        <v>580</v>
      </c>
      <c r="G61" s="142">
        <v>45891</v>
      </c>
      <c r="H61" s="138">
        <v>45891</v>
      </c>
      <c r="I61" s="138" t="s">
        <v>218</v>
      </c>
      <c r="J61" s="138">
        <v>45868</v>
      </c>
      <c r="K61" s="139">
        <v>45000</v>
      </c>
      <c r="L61" s="177" t="s">
        <v>218</v>
      </c>
      <c r="M61" s="178"/>
      <c r="N61" s="142">
        <v>45896</v>
      </c>
      <c r="O61" s="142" t="s">
        <v>237</v>
      </c>
      <c r="P61" s="142" t="s">
        <v>75</v>
      </c>
      <c r="Q61" s="142">
        <v>45896</v>
      </c>
      <c r="R61" s="142">
        <v>45891</v>
      </c>
      <c r="S61" s="142" t="s">
        <v>576</v>
      </c>
      <c r="T61" s="142" t="s">
        <v>361</v>
      </c>
      <c r="U61" s="142" t="s">
        <v>581</v>
      </c>
      <c r="V61" s="142" t="s">
        <v>578</v>
      </c>
      <c r="W61" s="142" t="s">
        <v>579</v>
      </c>
      <c r="X61" s="155"/>
      <c r="Y61" s="172"/>
    </row>
    <row r="62" spans="1:25" ht="16.5" x14ac:dyDescent="0.15">
      <c r="A62" s="140">
        <v>2025</v>
      </c>
      <c r="B62" s="140">
        <v>63</v>
      </c>
      <c r="C62" s="140" t="s">
        <v>314</v>
      </c>
      <c r="D62" s="140" t="s">
        <v>378</v>
      </c>
      <c r="E62" s="176" t="s">
        <v>379</v>
      </c>
      <c r="F62" s="176" t="s">
        <v>380</v>
      </c>
      <c r="G62" s="142">
        <v>45889</v>
      </c>
      <c r="H62" s="138">
        <v>45889</v>
      </c>
      <c r="I62" s="138" t="s">
        <v>218</v>
      </c>
      <c r="J62" s="138">
        <v>45876</v>
      </c>
      <c r="K62" s="139">
        <v>50000</v>
      </c>
      <c r="L62" s="177" t="s">
        <v>218</v>
      </c>
      <c r="M62" s="178"/>
      <c r="N62" s="142">
        <v>45891</v>
      </c>
      <c r="O62" s="142" t="s">
        <v>197</v>
      </c>
      <c r="P62" s="142" t="s">
        <v>384</v>
      </c>
      <c r="Q62" s="142">
        <v>45891</v>
      </c>
      <c r="R62" s="142">
        <v>45889</v>
      </c>
      <c r="S62" s="142" t="s">
        <v>380</v>
      </c>
      <c r="T62" s="142" t="s">
        <v>381</v>
      </c>
      <c r="U62" s="142" t="s">
        <v>382</v>
      </c>
      <c r="V62" s="142" t="s">
        <v>382</v>
      </c>
      <c r="W62" s="142" t="s">
        <v>383</v>
      </c>
      <c r="X62" s="155"/>
      <c r="Y62" s="117"/>
    </row>
    <row r="63" spans="1:25" ht="16.5" x14ac:dyDescent="0.15">
      <c r="A63" s="165">
        <v>2025</v>
      </c>
      <c r="B63" s="165">
        <v>64</v>
      </c>
      <c r="C63" s="165" t="s">
        <v>249</v>
      </c>
      <c r="D63" s="165" t="s">
        <v>385</v>
      </c>
      <c r="E63" s="167" t="s">
        <v>386</v>
      </c>
      <c r="F63" s="167" t="s">
        <v>271</v>
      </c>
      <c r="G63" s="168">
        <v>45848</v>
      </c>
      <c r="H63" s="169">
        <v>46052</v>
      </c>
      <c r="I63" s="169" t="s">
        <v>352</v>
      </c>
      <c r="J63" s="169">
        <v>45926</v>
      </c>
      <c r="K63" s="200">
        <v>12930000</v>
      </c>
      <c r="L63" s="165" t="s">
        <v>352</v>
      </c>
      <c r="M63" s="171" t="s">
        <v>387</v>
      </c>
      <c r="N63" s="146">
        <v>46048</v>
      </c>
      <c r="O63" s="146" t="s">
        <v>197</v>
      </c>
      <c r="P63" s="146" t="s">
        <v>384</v>
      </c>
      <c r="Q63" s="146">
        <v>46048</v>
      </c>
      <c r="R63" s="146">
        <v>46053</v>
      </c>
      <c r="S63" s="146" t="s">
        <v>582</v>
      </c>
      <c r="T63" s="146" t="s">
        <v>583</v>
      </c>
      <c r="U63" s="146" t="s">
        <v>584</v>
      </c>
      <c r="V63" s="146" t="s">
        <v>585</v>
      </c>
      <c r="W63" s="146" t="s">
        <v>586</v>
      </c>
      <c r="X63" s="172"/>
      <c r="Y63" s="132"/>
    </row>
    <row r="64" spans="1:25" ht="16.5" x14ac:dyDescent="0.15">
      <c r="A64" s="140">
        <v>2025</v>
      </c>
      <c r="B64" s="140">
        <v>65</v>
      </c>
      <c r="C64" s="140" t="s">
        <v>214</v>
      </c>
      <c r="D64" s="140" t="s">
        <v>587</v>
      </c>
      <c r="E64" s="176" t="s">
        <v>588</v>
      </c>
      <c r="F64" s="176" t="s">
        <v>589</v>
      </c>
      <c r="G64" s="142">
        <v>45874</v>
      </c>
      <c r="H64" s="138">
        <v>45892</v>
      </c>
      <c r="I64" s="138" t="s">
        <v>248</v>
      </c>
      <c r="J64" s="138"/>
      <c r="K64" s="139">
        <v>90000</v>
      </c>
      <c r="L64" s="177" t="s">
        <v>218</v>
      </c>
      <c r="M64" s="178"/>
      <c r="N64" s="142">
        <v>45895</v>
      </c>
      <c r="O64" s="142" t="s">
        <v>197</v>
      </c>
      <c r="P64" s="142" t="s">
        <v>590</v>
      </c>
      <c r="Q64" s="142">
        <v>45895</v>
      </c>
      <c r="R64" s="142">
        <v>45892</v>
      </c>
      <c r="S64" s="142" t="s">
        <v>591</v>
      </c>
      <c r="T64" s="142" t="s">
        <v>592</v>
      </c>
      <c r="U64" s="142" t="s">
        <v>593</v>
      </c>
      <c r="V64" s="142" t="s">
        <v>474</v>
      </c>
      <c r="W64" s="142" t="s">
        <v>594</v>
      </c>
      <c r="X64" s="155" t="s">
        <v>590</v>
      </c>
      <c r="Y64" s="117"/>
    </row>
    <row r="65" spans="1:25" ht="16.5" x14ac:dyDescent="0.15">
      <c r="A65" s="140">
        <v>2025</v>
      </c>
      <c r="B65" s="140">
        <v>66</v>
      </c>
      <c r="C65" s="140" t="s">
        <v>214</v>
      </c>
      <c r="D65" s="140" t="s">
        <v>595</v>
      </c>
      <c r="E65" s="176" t="s">
        <v>596</v>
      </c>
      <c r="F65" s="176" t="s">
        <v>597</v>
      </c>
      <c r="G65" s="142">
        <v>45860</v>
      </c>
      <c r="H65" s="138">
        <v>45877</v>
      </c>
      <c r="I65" s="138" t="s">
        <v>248</v>
      </c>
      <c r="J65" s="138"/>
      <c r="K65" s="139">
        <v>120000</v>
      </c>
      <c r="L65" s="177" t="s">
        <v>218</v>
      </c>
      <c r="M65" s="178"/>
      <c r="N65" s="142">
        <v>45896</v>
      </c>
      <c r="O65" s="142" t="s">
        <v>237</v>
      </c>
      <c r="P65" s="142" t="s">
        <v>598</v>
      </c>
      <c r="Q65" s="142">
        <v>45895</v>
      </c>
      <c r="R65" s="142">
        <v>45877</v>
      </c>
      <c r="S65" s="142" t="s">
        <v>599</v>
      </c>
      <c r="T65" s="142" t="s">
        <v>600</v>
      </c>
      <c r="U65" s="142" t="s">
        <v>601</v>
      </c>
      <c r="V65" s="142" t="s">
        <v>602</v>
      </c>
      <c r="W65" s="142" t="s">
        <v>603</v>
      </c>
      <c r="X65" s="155" t="s">
        <v>604</v>
      </c>
      <c r="Y65" s="117"/>
    </row>
    <row r="66" spans="1:25" ht="16.5" x14ac:dyDescent="0.15">
      <c r="A66" s="184">
        <v>2025</v>
      </c>
      <c r="B66" s="184">
        <v>67</v>
      </c>
      <c r="C66" s="184" t="s">
        <v>211</v>
      </c>
      <c r="D66" s="184" t="s">
        <v>605</v>
      </c>
      <c r="E66" s="186" t="s">
        <v>606</v>
      </c>
      <c r="F66" s="186" t="s">
        <v>607</v>
      </c>
      <c r="G66" s="187">
        <v>45901</v>
      </c>
      <c r="H66" s="188">
        <v>45949</v>
      </c>
      <c r="I66" s="188" t="s">
        <v>352</v>
      </c>
      <c r="J66" s="188">
        <v>45897</v>
      </c>
      <c r="K66" s="189">
        <v>3800000</v>
      </c>
      <c r="L66" s="184" t="s">
        <v>555</v>
      </c>
      <c r="M66" s="190" t="s">
        <v>608</v>
      </c>
      <c r="N66" s="142" t="s">
        <v>556</v>
      </c>
      <c r="O66" s="142"/>
      <c r="P66" s="142"/>
      <c r="Q66" s="142"/>
      <c r="R66" s="142"/>
      <c r="S66" s="142"/>
      <c r="T66" s="142"/>
      <c r="U66" s="142"/>
      <c r="V66" s="142"/>
      <c r="W66" s="142"/>
      <c r="X66" s="155"/>
      <c r="Y66" s="172"/>
    </row>
    <row r="67" spans="1:25" ht="115.5" x14ac:dyDescent="0.15">
      <c r="A67" s="114">
        <v>2025</v>
      </c>
      <c r="B67" s="114">
        <v>68</v>
      </c>
      <c r="C67" s="114" t="s">
        <v>375</v>
      </c>
      <c r="D67" s="114" t="s">
        <v>609</v>
      </c>
      <c r="E67" s="151" t="s">
        <v>610</v>
      </c>
      <c r="F67" s="151" t="s">
        <v>611</v>
      </c>
      <c r="G67" s="152">
        <v>45931</v>
      </c>
      <c r="H67" s="112">
        <v>46173</v>
      </c>
      <c r="I67" s="112" t="s">
        <v>352</v>
      </c>
      <c r="J67" s="112">
        <v>45910</v>
      </c>
      <c r="K67" s="113">
        <v>284900000</v>
      </c>
      <c r="L67" s="201" t="s">
        <v>352</v>
      </c>
      <c r="M67" s="183" t="s">
        <v>612</v>
      </c>
      <c r="N67" s="116"/>
      <c r="O67" s="116"/>
      <c r="P67" s="116"/>
      <c r="Q67" s="116"/>
      <c r="R67" s="116"/>
      <c r="S67" s="116"/>
      <c r="T67" s="116"/>
      <c r="U67" s="116"/>
      <c r="V67" s="116"/>
      <c r="W67" s="116"/>
      <c r="X67" s="117"/>
      <c r="Y67" s="117"/>
    </row>
    <row r="68" spans="1:25" ht="115.5" x14ac:dyDescent="0.15">
      <c r="A68" s="114">
        <v>2025</v>
      </c>
      <c r="B68" s="114">
        <v>69</v>
      </c>
      <c r="C68" s="114" t="s">
        <v>613</v>
      </c>
      <c r="D68" s="114" t="s">
        <v>614</v>
      </c>
      <c r="E68" s="151" t="s">
        <v>615</v>
      </c>
      <c r="F68" s="151" t="s">
        <v>616</v>
      </c>
      <c r="G68" s="152">
        <v>45944</v>
      </c>
      <c r="H68" s="112">
        <v>46095</v>
      </c>
      <c r="I68" s="112" t="s">
        <v>352</v>
      </c>
      <c r="J68" s="112">
        <v>45947</v>
      </c>
      <c r="K68" s="113">
        <v>146000000</v>
      </c>
      <c r="L68" s="114" t="s">
        <v>352</v>
      </c>
      <c r="M68" s="183" t="s">
        <v>612</v>
      </c>
      <c r="N68" s="116"/>
      <c r="O68" s="116"/>
      <c r="P68" s="116"/>
      <c r="Q68" s="116"/>
      <c r="R68" s="116"/>
      <c r="S68" s="116"/>
      <c r="T68" s="116"/>
      <c r="U68" s="116"/>
      <c r="V68" s="116"/>
      <c r="W68" s="116"/>
      <c r="X68" s="117"/>
      <c r="Y68" s="162"/>
    </row>
    <row r="69" spans="1:25" ht="16.5" x14ac:dyDescent="0.15">
      <c r="A69" s="44">
        <v>2025</v>
      </c>
      <c r="B69" s="44">
        <v>70</v>
      </c>
      <c r="C69" s="44" t="s">
        <v>214</v>
      </c>
      <c r="D69" s="44" t="s">
        <v>617</v>
      </c>
      <c r="E69" s="145" t="s">
        <v>618</v>
      </c>
      <c r="F69" s="145" t="s">
        <v>619</v>
      </c>
      <c r="G69" s="146">
        <v>45890</v>
      </c>
      <c r="H69" s="147">
        <v>45890</v>
      </c>
      <c r="I69" s="147" t="s">
        <v>253</v>
      </c>
      <c r="J69" s="147"/>
      <c r="K69" s="148">
        <v>90000</v>
      </c>
      <c r="L69" s="44" t="s">
        <v>253</v>
      </c>
      <c r="M69" s="149"/>
      <c r="N69" s="146">
        <v>45908</v>
      </c>
      <c r="O69" s="146" t="s">
        <v>197</v>
      </c>
      <c r="P69" s="146" t="s">
        <v>590</v>
      </c>
      <c r="Q69" s="146">
        <v>45908</v>
      </c>
      <c r="R69" s="146">
        <v>45890</v>
      </c>
      <c r="S69" s="146" t="s">
        <v>620</v>
      </c>
      <c r="T69" s="146" t="s">
        <v>621</v>
      </c>
      <c r="U69" s="146" t="s">
        <v>622</v>
      </c>
      <c r="V69" s="146" t="s">
        <v>623</v>
      </c>
      <c r="W69" s="146" t="s">
        <v>624</v>
      </c>
      <c r="X69" s="172"/>
      <c r="Y69" s="117"/>
    </row>
    <row r="70" spans="1:25" ht="16.5" x14ac:dyDescent="0.15">
      <c r="A70" s="44">
        <v>2025</v>
      </c>
      <c r="B70" s="44">
        <v>71</v>
      </c>
      <c r="C70" s="44" t="s">
        <v>211</v>
      </c>
      <c r="D70" s="44" t="s">
        <v>625</v>
      </c>
      <c r="E70" s="145" t="s">
        <v>626</v>
      </c>
      <c r="F70" s="145" t="s">
        <v>627</v>
      </c>
      <c r="G70" s="146">
        <v>45876</v>
      </c>
      <c r="H70" s="147">
        <v>45877</v>
      </c>
      <c r="I70" s="147" t="s">
        <v>253</v>
      </c>
      <c r="J70" s="147">
        <v>45876</v>
      </c>
      <c r="K70" s="148">
        <v>50000</v>
      </c>
      <c r="L70" s="44" t="s">
        <v>253</v>
      </c>
      <c r="M70" s="149"/>
      <c r="N70" s="146">
        <v>45910</v>
      </c>
      <c r="O70" s="146" t="s">
        <v>237</v>
      </c>
      <c r="P70" s="146" t="s">
        <v>238</v>
      </c>
      <c r="Q70" s="146">
        <v>45910</v>
      </c>
      <c r="R70" s="146">
        <v>45877</v>
      </c>
      <c r="S70" s="146" t="s">
        <v>628</v>
      </c>
      <c r="T70" s="146" t="s">
        <v>239</v>
      </c>
      <c r="U70" s="146" t="s">
        <v>629</v>
      </c>
      <c r="V70" s="146" t="s">
        <v>241</v>
      </c>
      <c r="W70" s="146" t="s">
        <v>244</v>
      </c>
      <c r="X70" s="172" t="s">
        <v>630</v>
      </c>
      <c r="Y70" s="117"/>
    </row>
    <row r="71" spans="1:25" ht="16.5" x14ac:dyDescent="0.15">
      <c r="A71" s="43">
        <v>2025</v>
      </c>
      <c r="B71" s="43">
        <v>72</v>
      </c>
      <c r="C71" s="43" t="s">
        <v>331</v>
      </c>
      <c r="D71" s="43" t="s">
        <v>388</v>
      </c>
      <c r="E71" s="133" t="s">
        <v>631</v>
      </c>
      <c r="F71" s="133" t="s">
        <v>632</v>
      </c>
      <c r="G71" s="126" t="s">
        <v>218</v>
      </c>
      <c r="H71" s="126" t="s">
        <v>218</v>
      </c>
      <c r="I71" s="126" t="s">
        <v>218</v>
      </c>
      <c r="J71" s="126" t="s">
        <v>218</v>
      </c>
      <c r="K71" s="126" t="s">
        <v>218</v>
      </c>
      <c r="L71" s="43"/>
      <c r="M71" s="150"/>
      <c r="N71" s="116"/>
      <c r="O71" s="116"/>
      <c r="P71" s="116"/>
      <c r="Q71" s="116"/>
      <c r="R71" s="116"/>
      <c r="S71" s="116"/>
      <c r="T71" s="116"/>
      <c r="U71" s="116"/>
      <c r="V71" s="116"/>
      <c r="W71" s="116"/>
      <c r="X71" s="117"/>
      <c r="Y71" s="155"/>
    </row>
    <row r="72" spans="1:25" ht="16.5" x14ac:dyDescent="0.15">
      <c r="A72" s="114">
        <v>2025</v>
      </c>
      <c r="B72" s="114">
        <v>73</v>
      </c>
      <c r="C72" s="114" t="s">
        <v>331</v>
      </c>
      <c r="D72" s="114" t="s">
        <v>633</v>
      </c>
      <c r="E72" s="151" t="s">
        <v>634</v>
      </c>
      <c r="F72" s="151" t="s">
        <v>635</v>
      </c>
      <c r="G72" s="152">
        <v>45962</v>
      </c>
      <c r="H72" s="112">
        <v>46067</v>
      </c>
      <c r="I72" s="112" t="s">
        <v>352</v>
      </c>
      <c r="J72" s="112">
        <v>45954</v>
      </c>
      <c r="K72" s="113">
        <v>28790000</v>
      </c>
      <c r="L72" s="114" t="s">
        <v>352</v>
      </c>
      <c r="M72" s="153"/>
      <c r="N72" s="116"/>
      <c r="O72" s="116"/>
      <c r="P72" s="116"/>
      <c r="Q72" s="116"/>
      <c r="R72" s="116"/>
      <c r="S72" s="116"/>
      <c r="T72" s="116"/>
      <c r="U72" s="116"/>
      <c r="V72" s="116"/>
      <c r="W72" s="116"/>
      <c r="X72" s="117" t="s">
        <v>636</v>
      </c>
      <c r="Y72" s="155"/>
    </row>
    <row r="73" spans="1:25" ht="16.5" x14ac:dyDescent="0.15">
      <c r="A73" s="44">
        <v>2025</v>
      </c>
      <c r="B73" s="44">
        <v>74</v>
      </c>
      <c r="C73" s="44" t="s">
        <v>637</v>
      </c>
      <c r="D73" s="44" t="s">
        <v>638</v>
      </c>
      <c r="E73" s="145" t="s">
        <v>639</v>
      </c>
      <c r="F73" s="145" t="s">
        <v>640</v>
      </c>
      <c r="G73" s="146">
        <v>45913</v>
      </c>
      <c r="H73" s="147">
        <v>45913</v>
      </c>
      <c r="I73" s="147" t="s">
        <v>352</v>
      </c>
      <c r="J73" s="147">
        <v>45912</v>
      </c>
      <c r="K73" s="148">
        <v>250000</v>
      </c>
      <c r="L73" s="44" t="s">
        <v>253</v>
      </c>
      <c r="M73" s="149"/>
      <c r="N73" s="146">
        <v>45916</v>
      </c>
      <c r="O73" s="146" t="s">
        <v>333</v>
      </c>
      <c r="P73" s="146" t="s">
        <v>75</v>
      </c>
      <c r="Q73" s="146">
        <v>45916</v>
      </c>
      <c r="R73" s="146">
        <v>45913</v>
      </c>
      <c r="S73" s="146" t="s">
        <v>641</v>
      </c>
      <c r="T73" s="146" t="s">
        <v>642</v>
      </c>
      <c r="U73" s="146" t="s">
        <v>643</v>
      </c>
      <c r="V73" s="146" t="s">
        <v>644</v>
      </c>
      <c r="W73" s="146" t="s">
        <v>645</v>
      </c>
      <c r="X73" s="172"/>
      <c r="Y73" s="155"/>
    </row>
    <row r="74" spans="1:25" ht="16.5" x14ac:dyDescent="0.15">
      <c r="A74" s="44">
        <v>2025</v>
      </c>
      <c r="B74" s="44">
        <v>75</v>
      </c>
      <c r="C74" s="44" t="s">
        <v>214</v>
      </c>
      <c r="D74" s="44" t="s">
        <v>646</v>
      </c>
      <c r="E74" s="145" t="s">
        <v>647</v>
      </c>
      <c r="F74" s="145" t="s">
        <v>648</v>
      </c>
      <c r="G74" s="146">
        <v>45916</v>
      </c>
      <c r="H74" s="147">
        <v>45916</v>
      </c>
      <c r="I74" s="147" t="s">
        <v>218</v>
      </c>
      <c r="J74" s="147"/>
      <c r="K74" s="148">
        <v>410000</v>
      </c>
      <c r="L74" s="44" t="s">
        <v>218</v>
      </c>
      <c r="M74" s="149"/>
      <c r="N74" s="146">
        <v>45932</v>
      </c>
      <c r="O74" s="146" t="s">
        <v>199</v>
      </c>
      <c r="P74" s="146" t="s">
        <v>273</v>
      </c>
      <c r="Q74" s="146">
        <v>45916</v>
      </c>
      <c r="R74" s="146">
        <v>45916</v>
      </c>
      <c r="S74" s="146" t="s">
        <v>649</v>
      </c>
      <c r="T74" s="146" t="s">
        <v>621</v>
      </c>
      <c r="U74" s="146" t="s">
        <v>650</v>
      </c>
      <c r="V74" s="146" t="s">
        <v>474</v>
      </c>
      <c r="W74" s="146" t="s">
        <v>651</v>
      </c>
      <c r="X74" s="172" t="s">
        <v>652</v>
      </c>
      <c r="Y74" s="172"/>
    </row>
    <row r="75" spans="1:25" ht="16.5" x14ac:dyDescent="0.15">
      <c r="A75" s="44">
        <v>2025</v>
      </c>
      <c r="B75" s="44">
        <v>76</v>
      </c>
      <c r="C75" s="44" t="s">
        <v>375</v>
      </c>
      <c r="D75" s="44" t="s">
        <v>653</v>
      </c>
      <c r="E75" s="145" t="s">
        <v>654</v>
      </c>
      <c r="F75" s="145" t="s">
        <v>374</v>
      </c>
      <c r="G75" s="146">
        <v>45920</v>
      </c>
      <c r="H75" s="147">
        <v>45920</v>
      </c>
      <c r="I75" s="147" t="s">
        <v>218</v>
      </c>
      <c r="J75" s="147">
        <v>45912</v>
      </c>
      <c r="K75" s="148">
        <v>55000</v>
      </c>
      <c r="L75" s="44" t="s">
        <v>218</v>
      </c>
      <c r="M75" s="149"/>
      <c r="N75" s="146">
        <v>45926</v>
      </c>
      <c r="O75" s="146" t="s">
        <v>197</v>
      </c>
      <c r="P75" s="146"/>
      <c r="Q75" s="146">
        <v>45926</v>
      </c>
      <c r="R75" s="146">
        <v>45920</v>
      </c>
      <c r="S75" s="146" t="s">
        <v>576</v>
      </c>
      <c r="T75" s="146" t="s">
        <v>361</v>
      </c>
      <c r="U75" s="146" t="s">
        <v>577</v>
      </c>
      <c r="V75" s="146" t="s">
        <v>578</v>
      </c>
      <c r="W75" s="146" t="s">
        <v>655</v>
      </c>
      <c r="X75" s="172"/>
      <c r="Y75" s="117"/>
    </row>
    <row r="76" spans="1:25" ht="16.5" x14ac:dyDescent="0.15">
      <c r="A76" s="44">
        <v>2025</v>
      </c>
      <c r="B76" s="44">
        <v>77</v>
      </c>
      <c r="C76" s="44" t="s">
        <v>375</v>
      </c>
      <c r="D76" s="44" t="s">
        <v>656</v>
      </c>
      <c r="E76" s="145" t="s">
        <v>657</v>
      </c>
      <c r="F76" s="145" t="s">
        <v>658</v>
      </c>
      <c r="G76" s="146">
        <v>45929</v>
      </c>
      <c r="H76" s="147">
        <v>45929</v>
      </c>
      <c r="I76" s="147" t="s">
        <v>248</v>
      </c>
      <c r="J76" s="147">
        <v>45922</v>
      </c>
      <c r="K76" s="148">
        <v>39000</v>
      </c>
      <c r="L76" s="44" t="s">
        <v>218</v>
      </c>
      <c r="M76" s="149"/>
      <c r="N76" s="146">
        <v>45929</v>
      </c>
      <c r="O76" s="146" t="s">
        <v>659</v>
      </c>
      <c r="P76" s="146"/>
      <c r="Q76" s="146">
        <v>45929</v>
      </c>
      <c r="R76" s="146">
        <v>45929</v>
      </c>
      <c r="S76" s="146" t="s">
        <v>660</v>
      </c>
      <c r="T76" s="146" t="s">
        <v>661</v>
      </c>
      <c r="U76" s="146" t="s">
        <v>662</v>
      </c>
      <c r="V76" s="146" t="s">
        <v>663</v>
      </c>
      <c r="W76" s="146" t="s">
        <v>664</v>
      </c>
      <c r="X76" s="172"/>
      <c r="Y76" s="117"/>
    </row>
    <row r="77" spans="1:25" ht="409.5" x14ac:dyDescent="0.15">
      <c r="A77" s="165">
        <v>2025</v>
      </c>
      <c r="B77" s="165">
        <v>78</v>
      </c>
      <c r="C77" s="165" t="s">
        <v>665</v>
      </c>
      <c r="D77" s="165" t="s">
        <v>666</v>
      </c>
      <c r="E77" s="167" t="s">
        <v>667</v>
      </c>
      <c r="F77" s="167" t="s">
        <v>668</v>
      </c>
      <c r="G77" s="168">
        <v>45870</v>
      </c>
      <c r="H77" s="169">
        <v>46112</v>
      </c>
      <c r="I77" s="169" t="s">
        <v>352</v>
      </c>
      <c r="J77" s="202"/>
      <c r="K77" s="203">
        <v>14700000</v>
      </c>
      <c r="L77" s="165" t="s">
        <v>253</v>
      </c>
      <c r="M77" s="171" t="s">
        <v>304</v>
      </c>
      <c r="N77" s="146">
        <v>46120</v>
      </c>
      <c r="O77" s="146" t="s">
        <v>333</v>
      </c>
      <c r="P77" s="146" t="s">
        <v>75</v>
      </c>
      <c r="Q77" s="146">
        <v>46120</v>
      </c>
      <c r="R77" s="146">
        <v>46112</v>
      </c>
      <c r="S77" s="146" t="s">
        <v>669</v>
      </c>
      <c r="T77" s="146" t="s">
        <v>670</v>
      </c>
      <c r="U77" s="146" t="s">
        <v>671</v>
      </c>
      <c r="V77" s="146" t="s">
        <v>672</v>
      </c>
      <c r="W77" s="146" t="s">
        <v>673</v>
      </c>
      <c r="X77" s="132" t="s">
        <v>674</v>
      </c>
      <c r="Y77" s="192"/>
    </row>
    <row r="78" spans="1:25" ht="33" x14ac:dyDescent="0.15">
      <c r="A78" s="165">
        <v>2025</v>
      </c>
      <c r="B78" s="165">
        <v>79</v>
      </c>
      <c r="C78" s="165" t="s">
        <v>214</v>
      </c>
      <c r="D78" s="165" t="s">
        <v>675</v>
      </c>
      <c r="E78" s="167" t="s">
        <v>676</v>
      </c>
      <c r="F78" s="167" t="s">
        <v>677</v>
      </c>
      <c r="G78" s="168">
        <v>45931</v>
      </c>
      <c r="H78" s="169">
        <v>45931</v>
      </c>
      <c r="I78" s="204" t="s">
        <v>248</v>
      </c>
      <c r="J78" s="169"/>
      <c r="K78" s="200">
        <v>35000</v>
      </c>
      <c r="L78" s="205" t="s">
        <v>218</v>
      </c>
      <c r="M78" s="206" t="s">
        <v>348</v>
      </c>
      <c r="N78" s="146">
        <v>45932</v>
      </c>
      <c r="O78" s="146" t="s">
        <v>197</v>
      </c>
      <c r="P78" s="146" t="s">
        <v>273</v>
      </c>
      <c r="Q78" s="146">
        <v>45931</v>
      </c>
      <c r="R78" s="146">
        <v>45931</v>
      </c>
      <c r="S78" s="146" t="s">
        <v>678</v>
      </c>
      <c r="T78" s="146" t="s">
        <v>297</v>
      </c>
      <c r="U78" s="146" t="s">
        <v>679</v>
      </c>
      <c r="V78" s="146" t="s">
        <v>680</v>
      </c>
      <c r="W78" s="146" t="s">
        <v>681</v>
      </c>
      <c r="X78" s="172"/>
      <c r="Y78" s="117"/>
    </row>
    <row r="79" spans="1:25" ht="16.5" x14ac:dyDescent="0.15">
      <c r="A79" s="165">
        <v>2025</v>
      </c>
      <c r="B79" s="165">
        <v>80</v>
      </c>
      <c r="C79" s="165" t="s">
        <v>214</v>
      </c>
      <c r="D79" s="165" t="s">
        <v>682</v>
      </c>
      <c r="E79" s="167" t="s">
        <v>683</v>
      </c>
      <c r="F79" s="167" t="s">
        <v>684</v>
      </c>
      <c r="G79" s="168">
        <v>45926</v>
      </c>
      <c r="H79" s="169">
        <v>45926</v>
      </c>
      <c r="I79" s="204" t="s">
        <v>248</v>
      </c>
      <c r="J79" s="169"/>
      <c r="K79" s="200">
        <v>83000</v>
      </c>
      <c r="L79" s="205" t="s">
        <v>218</v>
      </c>
      <c r="M79" s="171"/>
      <c r="N79" s="146">
        <v>45933</v>
      </c>
      <c r="O79" s="146" t="s">
        <v>685</v>
      </c>
      <c r="P79" s="146" t="s">
        <v>75</v>
      </c>
      <c r="Q79" s="146"/>
      <c r="R79" s="146">
        <v>45926</v>
      </c>
      <c r="S79" s="146" t="s">
        <v>686</v>
      </c>
      <c r="T79" s="146" t="s">
        <v>291</v>
      </c>
      <c r="U79" s="146" t="s">
        <v>687</v>
      </c>
      <c r="V79" s="146" t="s">
        <v>688</v>
      </c>
      <c r="W79" s="146" t="s">
        <v>689</v>
      </c>
      <c r="X79" s="172" t="s">
        <v>690</v>
      </c>
      <c r="Y79" s="117"/>
    </row>
    <row r="80" spans="1:25" ht="16.5" x14ac:dyDescent="0.15">
      <c r="A80" s="184">
        <v>2025</v>
      </c>
      <c r="B80" s="184">
        <v>82</v>
      </c>
      <c r="C80" s="184" t="s">
        <v>209</v>
      </c>
      <c r="D80" s="184" t="s">
        <v>691</v>
      </c>
      <c r="E80" s="186" t="s">
        <v>692</v>
      </c>
      <c r="F80" s="186" t="s">
        <v>693</v>
      </c>
      <c r="G80" s="187">
        <v>45938</v>
      </c>
      <c r="H80" s="188">
        <v>45985</v>
      </c>
      <c r="I80" s="207" t="s">
        <v>248</v>
      </c>
      <c r="J80" s="188">
        <v>45938</v>
      </c>
      <c r="K80" s="189">
        <v>1150000</v>
      </c>
      <c r="L80" s="208" t="s">
        <v>555</v>
      </c>
      <c r="M80" s="190"/>
      <c r="N80" s="142" t="s">
        <v>556</v>
      </c>
      <c r="O80" s="142"/>
      <c r="P80" s="142"/>
      <c r="Q80" s="142"/>
      <c r="R80" s="142"/>
      <c r="S80" s="142"/>
      <c r="T80" s="142"/>
      <c r="U80" s="142"/>
      <c r="V80" s="142"/>
      <c r="W80" s="142"/>
      <c r="X80" s="155"/>
      <c r="Y80" s="172"/>
    </row>
    <row r="81" spans="1:25" ht="16.5" x14ac:dyDescent="0.15">
      <c r="A81" s="165">
        <v>2025</v>
      </c>
      <c r="B81" s="165">
        <v>83</v>
      </c>
      <c r="C81" s="165" t="s">
        <v>637</v>
      </c>
      <c r="D81" s="165" t="s">
        <v>694</v>
      </c>
      <c r="E81" s="167" t="s">
        <v>695</v>
      </c>
      <c r="F81" s="167" t="s">
        <v>696</v>
      </c>
      <c r="G81" s="168">
        <v>45957</v>
      </c>
      <c r="H81" s="169">
        <v>45961</v>
      </c>
      <c r="I81" s="204" t="s">
        <v>248</v>
      </c>
      <c r="J81" s="169">
        <v>45930</v>
      </c>
      <c r="K81" s="200">
        <v>225000</v>
      </c>
      <c r="L81" s="205" t="s">
        <v>218</v>
      </c>
      <c r="M81" s="171"/>
      <c r="N81" s="146">
        <v>45968</v>
      </c>
      <c r="O81" s="146" t="s">
        <v>199</v>
      </c>
      <c r="P81" s="146"/>
      <c r="Q81" s="146">
        <v>45967</v>
      </c>
      <c r="R81" s="146">
        <v>45961</v>
      </c>
      <c r="S81" s="146" t="s">
        <v>697</v>
      </c>
      <c r="T81" s="146"/>
      <c r="U81" s="146"/>
      <c r="V81" s="146" t="s">
        <v>698</v>
      </c>
      <c r="W81" s="146"/>
      <c r="X81" s="172" t="s">
        <v>699</v>
      </c>
      <c r="Y81" s="155"/>
    </row>
    <row r="82" spans="1:25" ht="165" x14ac:dyDescent="0.15">
      <c r="A82" s="165">
        <v>2025</v>
      </c>
      <c r="B82" s="165">
        <v>84</v>
      </c>
      <c r="C82" s="165" t="s">
        <v>375</v>
      </c>
      <c r="D82" s="165" t="s">
        <v>700</v>
      </c>
      <c r="E82" s="167" t="s">
        <v>701</v>
      </c>
      <c r="F82" s="167" t="s">
        <v>702</v>
      </c>
      <c r="G82" s="168">
        <v>45939</v>
      </c>
      <c r="H82" s="169">
        <v>45939</v>
      </c>
      <c r="I82" s="169"/>
      <c r="J82" s="209"/>
      <c r="K82" s="210">
        <v>205000</v>
      </c>
      <c r="L82" s="165" t="s">
        <v>218</v>
      </c>
      <c r="M82" s="171"/>
      <c r="N82" s="146">
        <v>45945</v>
      </c>
      <c r="O82" s="146" t="s">
        <v>237</v>
      </c>
      <c r="P82" s="146" t="s">
        <v>75</v>
      </c>
      <c r="Q82" s="146">
        <v>45945</v>
      </c>
      <c r="R82" s="146">
        <v>45939</v>
      </c>
      <c r="S82" s="146" t="s">
        <v>702</v>
      </c>
      <c r="T82" s="146" t="s">
        <v>703</v>
      </c>
      <c r="U82" s="146" t="s">
        <v>704</v>
      </c>
      <c r="V82" s="146" t="s">
        <v>705</v>
      </c>
      <c r="W82" s="146" t="s">
        <v>706</v>
      </c>
      <c r="X82" s="132" t="s">
        <v>707</v>
      </c>
      <c r="Y82" s="172"/>
    </row>
    <row r="83" spans="1:25" ht="16.5" x14ac:dyDescent="0.15">
      <c r="A83" s="184">
        <v>2025</v>
      </c>
      <c r="B83" s="184">
        <v>85</v>
      </c>
      <c r="C83" s="184" t="s">
        <v>211</v>
      </c>
      <c r="D83" s="184" t="s">
        <v>708</v>
      </c>
      <c r="E83" s="186" t="s">
        <v>709</v>
      </c>
      <c r="F83" s="186" t="s">
        <v>607</v>
      </c>
      <c r="G83" s="187">
        <v>45952</v>
      </c>
      <c r="H83" s="188">
        <v>46016</v>
      </c>
      <c r="I83" s="188" t="s">
        <v>352</v>
      </c>
      <c r="J83" s="188">
        <v>45952</v>
      </c>
      <c r="K83" s="189">
        <v>1560000</v>
      </c>
      <c r="L83" s="184" t="s">
        <v>555</v>
      </c>
      <c r="M83" s="190"/>
      <c r="N83" s="142" t="s">
        <v>556</v>
      </c>
      <c r="O83" s="142"/>
      <c r="P83" s="142"/>
      <c r="Q83" s="142"/>
      <c r="R83" s="142"/>
      <c r="S83" s="142"/>
      <c r="T83" s="142"/>
      <c r="U83" s="142"/>
      <c r="V83" s="142"/>
      <c r="W83" s="142"/>
      <c r="X83" s="155"/>
      <c r="Y83" s="155"/>
    </row>
    <row r="84" spans="1:25" ht="16.5" x14ac:dyDescent="0.15">
      <c r="A84" s="114">
        <v>2025</v>
      </c>
      <c r="B84" s="114">
        <v>86</v>
      </c>
      <c r="C84" s="114" t="s">
        <v>572</v>
      </c>
      <c r="D84" s="114" t="s">
        <v>710</v>
      </c>
      <c r="E84" s="151" t="s">
        <v>711</v>
      </c>
      <c r="F84" s="151" t="s">
        <v>712</v>
      </c>
      <c r="G84" s="152">
        <v>45931</v>
      </c>
      <c r="H84" s="112">
        <v>45936</v>
      </c>
      <c r="I84" s="112" t="s">
        <v>218</v>
      </c>
      <c r="J84" s="112"/>
      <c r="K84" s="113">
        <v>500000</v>
      </c>
      <c r="L84" s="114" t="s">
        <v>218</v>
      </c>
      <c r="M84" s="153"/>
      <c r="N84" s="116"/>
      <c r="O84" s="116"/>
      <c r="P84" s="116"/>
      <c r="Q84" s="116"/>
      <c r="R84" s="116"/>
      <c r="S84" s="116"/>
      <c r="T84" s="116"/>
      <c r="U84" s="116"/>
      <c r="V84" s="116"/>
      <c r="W84" s="116"/>
      <c r="X84" s="117"/>
      <c r="Y84" s="211"/>
    </row>
    <row r="85" spans="1:25" ht="33" x14ac:dyDescent="0.15">
      <c r="A85" s="114">
        <v>2025</v>
      </c>
      <c r="B85" s="114">
        <v>87</v>
      </c>
      <c r="C85" s="114" t="s">
        <v>572</v>
      </c>
      <c r="D85" s="114" t="s">
        <v>713</v>
      </c>
      <c r="E85" s="151" t="s">
        <v>714</v>
      </c>
      <c r="F85" s="151" t="s">
        <v>712</v>
      </c>
      <c r="G85" s="152">
        <v>45944</v>
      </c>
      <c r="H85" s="112">
        <v>45975</v>
      </c>
      <c r="I85" s="112" t="s">
        <v>218</v>
      </c>
      <c r="J85" s="112"/>
      <c r="K85" s="113">
        <v>5900000</v>
      </c>
      <c r="L85" s="114" t="s">
        <v>218</v>
      </c>
      <c r="M85" s="183" t="s">
        <v>348</v>
      </c>
      <c r="N85" s="116"/>
      <c r="O85" s="116"/>
      <c r="P85" s="116"/>
      <c r="Q85" s="116"/>
      <c r="R85" s="116"/>
      <c r="S85" s="116"/>
      <c r="T85" s="116"/>
      <c r="U85" s="116"/>
      <c r="V85" s="116"/>
      <c r="W85" s="116"/>
      <c r="X85" s="117"/>
      <c r="Y85" s="192"/>
    </row>
    <row r="86" spans="1:25" ht="16.5" x14ac:dyDescent="0.15">
      <c r="A86" s="184">
        <v>2025</v>
      </c>
      <c r="B86" s="184">
        <v>88</v>
      </c>
      <c r="C86" s="184" t="s">
        <v>211</v>
      </c>
      <c r="D86" s="184" t="s">
        <v>715</v>
      </c>
      <c r="E86" s="186" t="s">
        <v>716</v>
      </c>
      <c r="F86" s="186" t="s">
        <v>607</v>
      </c>
      <c r="G86" s="187">
        <v>45957</v>
      </c>
      <c r="H86" s="188">
        <v>45957</v>
      </c>
      <c r="I86" s="188" t="s">
        <v>352</v>
      </c>
      <c r="J86" s="188">
        <v>45957</v>
      </c>
      <c r="K86" s="189">
        <v>200000</v>
      </c>
      <c r="L86" s="184" t="s">
        <v>555</v>
      </c>
      <c r="M86" s="190"/>
      <c r="N86" s="142" t="s">
        <v>556</v>
      </c>
      <c r="O86" s="142"/>
      <c r="P86" s="142"/>
      <c r="Q86" s="142"/>
      <c r="R86" s="142"/>
      <c r="S86" s="142"/>
      <c r="T86" s="142"/>
      <c r="U86" s="142"/>
      <c r="V86" s="142"/>
      <c r="W86" s="142"/>
      <c r="X86" s="155"/>
      <c r="Y86" s="155"/>
    </row>
    <row r="87" spans="1:25" ht="165" x14ac:dyDescent="0.15">
      <c r="A87" s="165">
        <v>2025</v>
      </c>
      <c r="B87" s="165">
        <v>89</v>
      </c>
      <c r="C87" s="165" t="s">
        <v>375</v>
      </c>
      <c r="D87" s="165" t="s">
        <v>717</v>
      </c>
      <c r="E87" s="167" t="s">
        <v>718</v>
      </c>
      <c r="F87" s="167" t="s">
        <v>719</v>
      </c>
      <c r="G87" s="168">
        <v>46027</v>
      </c>
      <c r="H87" s="169">
        <v>46059</v>
      </c>
      <c r="I87" s="169"/>
      <c r="J87" s="169"/>
      <c r="K87" s="200">
        <v>11028176</v>
      </c>
      <c r="L87" s="165" t="s">
        <v>352</v>
      </c>
      <c r="M87" s="171" t="s">
        <v>720</v>
      </c>
      <c r="N87" s="146">
        <v>46085</v>
      </c>
      <c r="O87" s="212" t="s">
        <v>721</v>
      </c>
      <c r="P87" s="146"/>
      <c r="Q87" s="146">
        <v>46085</v>
      </c>
      <c r="R87" s="146">
        <v>46059</v>
      </c>
      <c r="S87" s="146" t="s">
        <v>722</v>
      </c>
      <c r="T87" s="146" t="s">
        <v>327</v>
      </c>
      <c r="U87" s="146" t="s">
        <v>723</v>
      </c>
      <c r="V87" s="146" t="s">
        <v>724</v>
      </c>
      <c r="W87" s="146" t="s">
        <v>330</v>
      </c>
      <c r="X87" s="132" t="s">
        <v>725</v>
      </c>
      <c r="Y87" s="172"/>
    </row>
    <row r="88" spans="1:25" ht="16.5" x14ac:dyDescent="0.15">
      <c r="A88" s="114">
        <v>2025</v>
      </c>
      <c r="B88" s="114">
        <v>90</v>
      </c>
      <c r="C88" s="114" t="s">
        <v>219</v>
      </c>
      <c r="D88" s="114" t="s">
        <v>726</v>
      </c>
      <c r="E88" s="151" t="s">
        <v>727</v>
      </c>
      <c r="F88" s="151" t="s">
        <v>728</v>
      </c>
      <c r="G88" s="152">
        <v>45951</v>
      </c>
      <c r="H88" s="112">
        <v>46111</v>
      </c>
      <c r="I88" s="112" t="s">
        <v>248</v>
      </c>
      <c r="J88" s="112">
        <v>45951</v>
      </c>
      <c r="K88" s="113">
        <v>15000000</v>
      </c>
      <c r="L88" s="114" t="s">
        <v>248</v>
      </c>
      <c r="M88" s="153"/>
      <c r="N88" s="116"/>
      <c r="O88" s="116"/>
      <c r="P88" s="116"/>
      <c r="Q88" s="116"/>
      <c r="R88" s="116"/>
      <c r="S88" s="116"/>
      <c r="T88" s="116"/>
      <c r="U88" s="116"/>
      <c r="V88" s="116"/>
      <c r="W88" s="116"/>
      <c r="X88" s="117"/>
      <c r="Y88" s="155"/>
    </row>
    <row r="89" spans="1:25" ht="231" x14ac:dyDescent="0.15">
      <c r="A89" s="165">
        <v>2025</v>
      </c>
      <c r="B89" s="165">
        <v>91</v>
      </c>
      <c r="C89" s="165" t="s">
        <v>375</v>
      </c>
      <c r="D89" s="165" t="s">
        <v>729</v>
      </c>
      <c r="E89" s="167" t="s">
        <v>730</v>
      </c>
      <c r="F89" s="167" t="s">
        <v>658</v>
      </c>
      <c r="G89" s="168">
        <v>45957</v>
      </c>
      <c r="H89" s="169">
        <v>45957</v>
      </c>
      <c r="I89" s="169" t="s">
        <v>248</v>
      </c>
      <c r="J89" s="169"/>
      <c r="K89" s="200">
        <v>140000</v>
      </c>
      <c r="L89" s="165" t="s">
        <v>218</v>
      </c>
      <c r="M89" s="171"/>
      <c r="N89" s="146">
        <v>45961</v>
      </c>
      <c r="O89" s="146" t="s">
        <v>731</v>
      </c>
      <c r="P89" s="146" t="s">
        <v>273</v>
      </c>
      <c r="Q89" s="146">
        <v>45960</v>
      </c>
      <c r="R89" s="146">
        <v>45957</v>
      </c>
      <c r="S89" s="146" t="s">
        <v>660</v>
      </c>
      <c r="T89" s="146" t="s">
        <v>661</v>
      </c>
      <c r="U89" s="146" t="s">
        <v>662</v>
      </c>
      <c r="V89" s="146" t="s">
        <v>663</v>
      </c>
      <c r="W89" s="146" t="s">
        <v>664</v>
      </c>
      <c r="X89" s="132" t="s">
        <v>732</v>
      </c>
      <c r="Y89" s="172"/>
    </row>
    <row r="90" spans="1:25" ht="16.5" x14ac:dyDescent="0.15">
      <c r="A90" s="114">
        <v>2025</v>
      </c>
      <c r="B90" s="114">
        <v>92</v>
      </c>
      <c r="C90" s="114" t="s">
        <v>249</v>
      </c>
      <c r="D90" s="114" t="s">
        <v>733</v>
      </c>
      <c r="E90" s="151" t="s">
        <v>734</v>
      </c>
      <c r="F90" s="151" t="s">
        <v>735</v>
      </c>
      <c r="G90" s="152">
        <v>45901</v>
      </c>
      <c r="H90" s="112">
        <v>45971</v>
      </c>
      <c r="I90" s="112" t="s">
        <v>352</v>
      </c>
      <c r="J90" s="112"/>
      <c r="K90" s="113">
        <v>360000</v>
      </c>
      <c r="L90" s="114" t="s">
        <v>559</v>
      </c>
      <c r="M90" s="129" t="s">
        <v>736</v>
      </c>
      <c r="N90" s="213"/>
      <c r="O90" s="116"/>
      <c r="P90" s="116"/>
      <c r="Q90" s="116"/>
      <c r="R90" s="116"/>
      <c r="S90" s="116"/>
      <c r="T90" s="116"/>
      <c r="U90" s="116"/>
      <c r="V90" s="116"/>
      <c r="W90" s="116"/>
      <c r="X90" s="117"/>
      <c r="Y90" s="172"/>
    </row>
    <row r="91" spans="1:25" ht="16.5" x14ac:dyDescent="0.15">
      <c r="A91" s="165">
        <v>2025</v>
      </c>
      <c r="B91" s="165">
        <v>93</v>
      </c>
      <c r="C91" s="165" t="s">
        <v>637</v>
      </c>
      <c r="D91" s="165" t="s">
        <v>737</v>
      </c>
      <c r="E91" s="167" t="s">
        <v>738</v>
      </c>
      <c r="F91" s="167" t="s">
        <v>739</v>
      </c>
      <c r="G91" s="168">
        <v>45958</v>
      </c>
      <c r="H91" s="169">
        <v>45958</v>
      </c>
      <c r="I91" s="169" t="s">
        <v>352</v>
      </c>
      <c r="J91" s="169"/>
      <c r="K91" s="200">
        <v>40000</v>
      </c>
      <c r="L91" s="165" t="s">
        <v>253</v>
      </c>
      <c r="M91" s="171"/>
      <c r="N91" s="214">
        <v>45966</v>
      </c>
      <c r="O91" s="146" t="s">
        <v>237</v>
      </c>
      <c r="P91" s="146" t="s">
        <v>321</v>
      </c>
      <c r="Q91" s="146">
        <v>45966</v>
      </c>
      <c r="R91" s="146">
        <v>45958</v>
      </c>
      <c r="S91" s="146" t="s">
        <v>740</v>
      </c>
      <c r="T91" s="146" t="s">
        <v>741</v>
      </c>
      <c r="U91" s="146" t="s">
        <v>742</v>
      </c>
      <c r="V91" s="146" t="s">
        <v>743</v>
      </c>
      <c r="W91" s="146" t="s">
        <v>744</v>
      </c>
      <c r="X91" s="172"/>
      <c r="Y91" s="155"/>
    </row>
    <row r="92" spans="1:25" ht="132" x14ac:dyDescent="0.15">
      <c r="A92" s="165">
        <v>2025</v>
      </c>
      <c r="B92" s="165">
        <v>94</v>
      </c>
      <c r="C92" s="165" t="s">
        <v>249</v>
      </c>
      <c r="D92" s="165" t="s">
        <v>745</v>
      </c>
      <c r="E92" s="167" t="s">
        <v>746</v>
      </c>
      <c r="F92" s="167" t="s">
        <v>747</v>
      </c>
      <c r="G92" s="168"/>
      <c r="H92" s="169"/>
      <c r="I92" s="169" t="s">
        <v>248</v>
      </c>
      <c r="J92" s="169">
        <v>45961</v>
      </c>
      <c r="K92" s="200">
        <v>80000</v>
      </c>
      <c r="L92" s="165" t="s">
        <v>218</v>
      </c>
      <c r="M92" s="171" t="s">
        <v>748</v>
      </c>
      <c r="N92" s="214">
        <v>45967</v>
      </c>
      <c r="O92" s="146" t="s">
        <v>75</v>
      </c>
      <c r="P92" s="146" t="s">
        <v>749</v>
      </c>
      <c r="Q92" s="146"/>
      <c r="R92" s="146"/>
      <c r="S92" s="146" t="s">
        <v>750</v>
      </c>
      <c r="T92" s="146" t="s">
        <v>751</v>
      </c>
      <c r="U92" s="146" t="s">
        <v>752</v>
      </c>
      <c r="V92" s="146" t="s">
        <v>753</v>
      </c>
      <c r="W92" s="146" t="s">
        <v>754</v>
      </c>
      <c r="X92" s="132" t="s">
        <v>755</v>
      </c>
      <c r="Y92" s="172"/>
    </row>
    <row r="93" spans="1:25" ht="16.5" x14ac:dyDescent="0.15">
      <c r="A93" s="114">
        <v>2025</v>
      </c>
      <c r="B93" s="114">
        <v>95</v>
      </c>
      <c r="C93" s="114" t="s">
        <v>331</v>
      </c>
      <c r="D93" s="114" t="s">
        <v>756</v>
      </c>
      <c r="E93" s="151" t="s">
        <v>757</v>
      </c>
      <c r="F93" s="151" t="s">
        <v>758</v>
      </c>
      <c r="G93" s="152">
        <v>45931</v>
      </c>
      <c r="H93" s="112">
        <v>45982</v>
      </c>
      <c r="I93" s="112" t="s">
        <v>352</v>
      </c>
      <c r="J93" s="112">
        <v>45926</v>
      </c>
      <c r="K93" s="113">
        <v>630000</v>
      </c>
      <c r="L93" s="114" t="s">
        <v>352</v>
      </c>
      <c r="M93" s="153"/>
      <c r="N93" s="213"/>
      <c r="O93" s="116"/>
      <c r="P93" s="116"/>
      <c r="Q93" s="116"/>
      <c r="R93" s="116"/>
      <c r="S93" s="116"/>
      <c r="T93" s="116"/>
      <c r="U93" s="116"/>
      <c r="V93" s="116"/>
      <c r="W93" s="116"/>
      <c r="X93" s="117"/>
      <c r="Y93" s="155"/>
    </row>
    <row r="94" spans="1:25" ht="16.5" x14ac:dyDescent="0.15">
      <c r="A94" s="165">
        <v>2025</v>
      </c>
      <c r="B94" s="165">
        <v>96</v>
      </c>
      <c r="C94" s="165" t="s">
        <v>214</v>
      </c>
      <c r="D94" s="165" t="s">
        <v>759</v>
      </c>
      <c r="E94" s="167" t="s">
        <v>760</v>
      </c>
      <c r="F94" s="167" t="s">
        <v>761</v>
      </c>
      <c r="G94" s="168">
        <v>45947</v>
      </c>
      <c r="H94" s="169">
        <v>45947</v>
      </c>
      <c r="I94" s="169" t="s">
        <v>218</v>
      </c>
      <c r="J94" s="169"/>
      <c r="K94" s="200">
        <v>160000</v>
      </c>
      <c r="L94" s="165" t="s">
        <v>218</v>
      </c>
      <c r="M94" s="171"/>
      <c r="N94" s="146">
        <v>45968</v>
      </c>
      <c r="O94" s="146" t="s">
        <v>197</v>
      </c>
      <c r="P94" s="146"/>
      <c r="Q94" s="146">
        <v>45968</v>
      </c>
      <c r="R94" s="146">
        <v>45968</v>
      </c>
      <c r="S94" s="146" t="s">
        <v>762</v>
      </c>
      <c r="T94" s="146"/>
      <c r="U94" s="146"/>
      <c r="V94" s="146"/>
      <c r="W94" s="146"/>
      <c r="X94" s="172"/>
      <c r="Y94" s="155"/>
    </row>
    <row r="95" spans="1:25" ht="16.5" x14ac:dyDescent="0.15">
      <c r="A95" s="165">
        <v>2025</v>
      </c>
      <c r="B95" s="165">
        <v>97</v>
      </c>
      <c r="C95" s="165" t="s">
        <v>214</v>
      </c>
      <c r="D95" s="165" t="s">
        <v>763</v>
      </c>
      <c r="E95" s="167" t="s">
        <v>764</v>
      </c>
      <c r="F95" s="167" t="s">
        <v>765</v>
      </c>
      <c r="G95" s="168">
        <v>45947</v>
      </c>
      <c r="H95" s="169">
        <v>45947</v>
      </c>
      <c r="I95" s="169" t="s">
        <v>218</v>
      </c>
      <c r="J95" s="169"/>
      <c r="K95" s="200">
        <v>50000</v>
      </c>
      <c r="L95" s="165" t="s">
        <v>218</v>
      </c>
      <c r="M95" s="171"/>
      <c r="N95" s="146">
        <v>45968</v>
      </c>
      <c r="O95" s="146" t="s">
        <v>197</v>
      </c>
      <c r="P95" s="146"/>
      <c r="Q95" s="146">
        <v>45968</v>
      </c>
      <c r="R95" s="146">
        <v>45968</v>
      </c>
      <c r="S95" s="146"/>
      <c r="T95" s="146"/>
      <c r="U95" s="146"/>
      <c r="V95" s="146"/>
      <c r="W95" s="146"/>
      <c r="X95" s="172"/>
      <c r="Y95" s="117"/>
    </row>
    <row r="96" spans="1:25" ht="33" x14ac:dyDescent="0.15">
      <c r="A96" s="165">
        <v>2025</v>
      </c>
      <c r="B96" s="165">
        <v>98</v>
      </c>
      <c r="C96" s="165" t="s">
        <v>637</v>
      </c>
      <c r="D96" s="165" t="s">
        <v>766</v>
      </c>
      <c r="E96" s="167" t="s">
        <v>767</v>
      </c>
      <c r="F96" s="167" t="s">
        <v>768</v>
      </c>
      <c r="G96" s="168">
        <v>45957</v>
      </c>
      <c r="H96" s="169">
        <v>45960</v>
      </c>
      <c r="I96" s="169" t="s">
        <v>352</v>
      </c>
      <c r="J96" s="169"/>
      <c r="K96" s="200">
        <v>225000</v>
      </c>
      <c r="L96" s="165" t="s">
        <v>253</v>
      </c>
      <c r="M96" s="206" t="s">
        <v>353</v>
      </c>
      <c r="N96" s="146">
        <v>45968</v>
      </c>
      <c r="O96" s="146"/>
      <c r="P96" s="146"/>
      <c r="Q96" s="146">
        <v>45968</v>
      </c>
      <c r="R96" s="146"/>
      <c r="S96" s="146" t="s">
        <v>769</v>
      </c>
      <c r="T96" s="146" t="s">
        <v>770</v>
      </c>
      <c r="U96" s="146" t="s">
        <v>771</v>
      </c>
      <c r="V96" s="146" t="s">
        <v>698</v>
      </c>
      <c r="W96" s="146" t="s">
        <v>772</v>
      </c>
      <c r="X96" s="172"/>
      <c r="Y96" s="155"/>
    </row>
    <row r="97" spans="1:25" ht="16.5" x14ac:dyDescent="0.15">
      <c r="A97" s="114">
        <v>2025</v>
      </c>
      <c r="B97" s="114">
        <v>99</v>
      </c>
      <c r="C97" s="114" t="s">
        <v>219</v>
      </c>
      <c r="D97" s="114" t="s">
        <v>773</v>
      </c>
      <c r="E97" s="151" t="s">
        <v>774</v>
      </c>
      <c r="F97" s="151" t="s">
        <v>775</v>
      </c>
      <c r="G97" s="152">
        <v>45992</v>
      </c>
      <c r="H97" s="112">
        <v>46039</v>
      </c>
      <c r="I97" s="112" t="s">
        <v>248</v>
      </c>
      <c r="J97" s="112">
        <v>45930</v>
      </c>
      <c r="K97" s="113">
        <v>630000</v>
      </c>
      <c r="L97" s="114" t="s">
        <v>248</v>
      </c>
      <c r="M97" s="153"/>
      <c r="N97" s="116"/>
      <c r="O97" s="116"/>
      <c r="P97" s="116"/>
      <c r="Q97" s="116"/>
      <c r="R97" s="116"/>
      <c r="S97" s="116"/>
      <c r="T97" s="116"/>
      <c r="U97" s="116"/>
      <c r="V97" s="116"/>
      <c r="W97" s="116"/>
      <c r="X97" s="117"/>
      <c r="Y97" s="155"/>
    </row>
    <row r="98" spans="1:25" ht="16.5" x14ac:dyDescent="0.15">
      <c r="A98" s="165">
        <v>2025</v>
      </c>
      <c r="B98" s="165">
        <v>100</v>
      </c>
      <c r="C98" s="165" t="s">
        <v>214</v>
      </c>
      <c r="D98" s="165" t="s">
        <v>776</v>
      </c>
      <c r="E98" s="167" t="s">
        <v>777</v>
      </c>
      <c r="F98" s="167" t="s">
        <v>677</v>
      </c>
      <c r="G98" s="168">
        <v>45940</v>
      </c>
      <c r="H98" s="169">
        <v>45969</v>
      </c>
      <c r="I98" s="169" t="s">
        <v>248</v>
      </c>
      <c r="J98" s="169"/>
      <c r="K98" s="200">
        <v>236000</v>
      </c>
      <c r="L98" s="165" t="s">
        <v>218</v>
      </c>
      <c r="M98" s="171"/>
      <c r="N98" s="146">
        <v>45971</v>
      </c>
      <c r="O98" s="146" t="s">
        <v>197</v>
      </c>
      <c r="P98" s="146"/>
      <c r="Q98" s="146"/>
      <c r="R98" s="146">
        <v>45969</v>
      </c>
      <c r="S98" s="146" t="s">
        <v>677</v>
      </c>
      <c r="T98" s="146" t="s">
        <v>621</v>
      </c>
      <c r="U98" s="146" t="s">
        <v>622</v>
      </c>
      <c r="V98" s="146" t="s">
        <v>778</v>
      </c>
      <c r="W98" s="146" t="s">
        <v>779</v>
      </c>
      <c r="X98" s="172"/>
      <c r="Y98" s="117"/>
    </row>
    <row r="99" spans="1:25" ht="16.5" x14ac:dyDescent="0.15">
      <c r="A99" s="114">
        <v>2025</v>
      </c>
      <c r="B99" s="114">
        <v>101</v>
      </c>
      <c r="C99" s="114" t="s">
        <v>211</v>
      </c>
      <c r="D99" s="114" t="s">
        <v>780</v>
      </c>
      <c r="E99" s="151" t="s">
        <v>781</v>
      </c>
      <c r="F99" s="151" t="s">
        <v>782</v>
      </c>
      <c r="G99" s="152">
        <v>45954</v>
      </c>
      <c r="H99" s="112">
        <v>45968</v>
      </c>
      <c r="I99" s="112"/>
      <c r="J99" s="112">
        <v>45954</v>
      </c>
      <c r="K99" s="113">
        <v>21000</v>
      </c>
      <c r="L99" s="114" t="s">
        <v>253</v>
      </c>
      <c r="M99" s="153"/>
      <c r="N99" s="116"/>
      <c r="O99" s="116"/>
      <c r="P99" s="116"/>
      <c r="Q99" s="116"/>
      <c r="R99" s="116"/>
      <c r="S99" s="116"/>
      <c r="T99" s="116"/>
      <c r="U99" s="116"/>
      <c r="V99" s="116"/>
      <c r="W99" s="116"/>
      <c r="X99" s="117"/>
      <c r="Y99" s="172"/>
    </row>
    <row r="100" spans="1:25" ht="16.5" x14ac:dyDescent="0.15">
      <c r="A100" s="165">
        <v>2025</v>
      </c>
      <c r="B100" s="165">
        <v>102</v>
      </c>
      <c r="C100" s="165" t="s">
        <v>211</v>
      </c>
      <c r="D100" s="165" t="s">
        <v>783</v>
      </c>
      <c r="E100" s="167" t="s">
        <v>784</v>
      </c>
      <c r="F100" s="167" t="s">
        <v>785</v>
      </c>
      <c r="G100" s="168">
        <v>45960</v>
      </c>
      <c r="H100" s="169">
        <v>45971</v>
      </c>
      <c r="I100" s="169" t="s">
        <v>218</v>
      </c>
      <c r="J100" s="169">
        <v>45958</v>
      </c>
      <c r="K100" s="200">
        <v>420000</v>
      </c>
      <c r="L100" s="165" t="s">
        <v>218</v>
      </c>
      <c r="M100" s="171"/>
      <c r="N100" s="146">
        <v>45989</v>
      </c>
      <c r="O100" s="146"/>
      <c r="P100" s="146"/>
      <c r="Q100" s="146">
        <v>45989</v>
      </c>
      <c r="R100" s="146">
        <v>45973</v>
      </c>
      <c r="S100" s="146" t="s">
        <v>354</v>
      </c>
      <c r="T100" s="146" t="s">
        <v>355</v>
      </c>
      <c r="U100" s="146" t="s">
        <v>356</v>
      </c>
      <c r="V100" s="146" t="s">
        <v>357</v>
      </c>
      <c r="W100" s="146" t="s">
        <v>354</v>
      </c>
      <c r="X100" s="172"/>
      <c r="Y100" s="172"/>
    </row>
    <row r="101" spans="1:25" ht="16.5" x14ac:dyDescent="0.15">
      <c r="A101" s="165">
        <v>2025</v>
      </c>
      <c r="B101" s="165">
        <v>103</v>
      </c>
      <c r="C101" s="165" t="s">
        <v>214</v>
      </c>
      <c r="D101" s="165" t="s">
        <v>786</v>
      </c>
      <c r="E101" s="167" t="s">
        <v>787</v>
      </c>
      <c r="F101" s="167" t="s">
        <v>648</v>
      </c>
      <c r="G101" s="168">
        <v>45951</v>
      </c>
      <c r="H101" s="169">
        <v>45951</v>
      </c>
      <c r="I101" s="169" t="s">
        <v>248</v>
      </c>
      <c r="J101" s="169"/>
      <c r="K101" s="200">
        <v>70000</v>
      </c>
      <c r="L101" s="165" t="s">
        <v>218</v>
      </c>
      <c r="M101" s="171"/>
      <c r="N101" s="146">
        <v>45978</v>
      </c>
      <c r="O101" s="146" t="s">
        <v>199</v>
      </c>
      <c r="P101" s="146"/>
      <c r="Q101" s="146">
        <v>45978</v>
      </c>
      <c r="R101" s="146">
        <v>45951</v>
      </c>
      <c r="S101" s="146" t="s">
        <v>649</v>
      </c>
      <c r="T101" s="146" t="s">
        <v>621</v>
      </c>
      <c r="U101" s="146" t="s">
        <v>650</v>
      </c>
      <c r="V101" s="146" t="s">
        <v>474</v>
      </c>
      <c r="W101" s="146" t="s">
        <v>651</v>
      </c>
      <c r="X101" s="172"/>
      <c r="Y101" s="155"/>
    </row>
    <row r="102" spans="1:25" ht="16.5" x14ac:dyDescent="0.15">
      <c r="A102" s="165">
        <v>2025</v>
      </c>
      <c r="B102" s="165">
        <v>104</v>
      </c>
      <c r="C102" s="165" t="s">
        <v>214</v>
      </c>
      <c r="D102" s="165" t="s">
        <v>788</v>
      </c>
      <c r="E102" s="167" t="s">
        <v>789</v>
      </c>
      <c r="F102" s="167" t="s">
        <v>677</v>
      </c>
      <c r="G102" s="168">
        <v>45972</v>
      </c>
      <c r="H102" s="169">
        <v>45975</v>
      </c>
      <c r="I102" s="169" t="s">
        <v>248</v>
      </c>
      <c r="J102" s="169"/>
      <c r="K102" s="200">
        <v>750000</v>
      </c>
      <c r="L102" s="165" t="s">
        <v>218</v>
      </c>
      <c r="M102" s="171"/>
      <c r="N102" s="146">
        <v>45978</v>
      </c>
      <c r="O102" s="146" t="s">
        <v>197</v>
      </c>
      <c r="P102" s="146" t="s">
        <v>790</v>
      </c>
      <c r="Q102" s="146">
        <v>45978</v>
      </c>
      <c r="R102" s="146">
        <v>45975</v>
      </c>
      <c r="S102" s="146" t="s">
        <v>677</v>
      </c>
      <c r="T102" s="146" t="s">
        <v>621</v>
      </c>
      <c r="U102" s="146" t="s">
        <v>622</v>
      </c>
      <c r="V102" s="146" t="s">
        <v>778</v>
      </c>
      <c r="W102" s="146" t="s">
        <v>779</v>
      </c>
      <c r="X102" s="172" t="s">
        <v>791</v>
      </c>
      <c r="Y102" s="155"/>
    </row>
    <row r="103" spans="1:25" ht="181.5" x14ac:dyDescent="0.15">
      <c r="A103" s="165">
        <v>2025</v>
      </c>
      <c r="B103" s="165">
        <v>105</v>
      </c>
      <c r="C103" s="165" t="s">
        <v>314</v>
      </c>
      <c r="D103" s="165" t="s">
        <v>792</v>
      </c>
      <c r="E103" s="167" t="s">
        <v>793</v>
      </c>
      <c r="F103" s="167" t="s">
        <v>794</v>
      </c>
      <c r="G103" s="168">
        <v>45973</v>
      </c>
      <c r="H103" s="169">
        <v>45983</v>
      </c>
      <c r="I103" s="169" t="s">
        <v>218</v>
      </c>
      <c r="J103" s="169"/>
      <c r="K103" s="215">
        <v>157000</v>
      </c>
      <c r="L103" s="165" t="s">
        <v>218</v>
      </c>
      <c r="M103" s="171"/>
      <c r="N103" s="146">
        <v>45986</v>
      </c>
      <c r="O103" s="146" t="s">
        <v>237</v>
      </c>
      <c r="P103" s="146" t="s">
        <v>795</v>
      </c>
      <c r="Q103" s="146">
        <v>45986</v>
      </c>
      <c r="R103" s="146">
        <v>45983</v>
      </c>
      <c r="S103" s="146" t="s">
        <v>796</v>
      </c>
      <c r="T103" s="146" t="s">
        <v>797</v>
      </c>
      <c r="U103" s="216" t="s">
        <v>798</v>
      </c>
      <c r="V103" s="146"/>
      <c r="W103" s="146" t="s">
        <v>799</v>
      </c>
      <c r="X103" s="172" t="s">
        <v>800</v>
      </c>
      <c r="Y103" s="117"/>
    </row>
    <row r="104" spans="1:25" ht="16.5" x14ac:dyDescent="0.15">
      <c r="A104" s="165">
        <v>2025</v>
      </c>
      <c r="B104" s="165">
        <v>106</v>
      </c>
      <c r="C104" s="165" t="s">
        <v>314</v>
      </c>
      <c r="D104" s="165" t="s">
        <v>801</v>
      </c>
      <c r="E104" s="167" t="s">
        <v>802</v>
      </c>
      <c r="F104" s="167" t="s">
        <v>803</v>
      </c>
      <c r="G104" s="168">
        <v>45979</v>
      </c>
      <c r="H104" s="169">
        <v>45979</v>
      </c>
      <c r="I104" s="169" t="s">
        <v>218</v>
      </c>
      <c r="J104" s="169">
        <v>45968</v>
      </c>
      <c r="K104" s="200">
        <v>100000</v>
      </c>
      <c r="L104" s="165" t="s">
        <v>218</v>
      </c>
      <c r="M104" s="171"/>
      <c r="N104" s="146">
        <v>45982</v>
      </c>
      <c r="O104" s="146" t="s">
        <v>197</v>
      </c>
      <c r="P104" s="146"/>
      <c r="Q104" s="146">
        <v>45982</v>
      </c>
      <c r="R104" s="146">
        <v>45979</v>
      </c>
      <c r="S104" s="146" t="s">
        <v>803</v>
      </c>
      <c r="T104" s="146" t="s">
        <v>804</v>
      </c>
      <c r="U104" s="146" t="s">
        <v>805</v>
      </c>
      <c r="V104" s="146"/>
      <c r="W104" s="146" t="s">
        <v>806</v>
      </c>
      <c r="X104" s="172"/>
      <c r="Y104" s="117"/>
    </row>
    <row r="105" spans="1:25" ht="16.5" x14ac:dyDescent="0.15">
      <c r="A105" s="165">
        <v>2025</v>
      </c>
      <c r="B105" s="165">
        <v>107</v>
      </c>
      <c r="C105" s="165" t="s">
        <v>375</v>
      </c>
      <c r="D105" s="165" t="s">
        <v>807</v>
      </c>
      <c r="E105" s="167" t="s">
        <v>808</v>
      </c>
      <c r="F105" s="167" t="s">
        <v>809</v>
      </c>
      <c r="G105" s="168">
        <v>45996</v>
      </c>
      <c r="H105" s="169">
        <v>45996</v>
      </c>
      <c r="I105" s="169" t="s">
        <v>248</v>
      </c>
      <c r="J105" s="169">
        <v>45978</v>
      </c>
      <c r="K105" s="200">
        <v>880000</v>
      </c>
      <c r="L105" s="165" t="s">
        <v>218</v>
      </c>
      <c r="M105" s="171"/>
      <c r="N105" s="146">
        <v>46016</v>
      </c>
      <c r="O105" s="146" t="s">
        <v>197</v>
      </c>
      <c r="P105" s="146"/>
      <c r="Q105" s="146">
        <v>46016</v>
      </c>
      <c r="R105" s="146">
        <v>45996</v>
      </c>
      <c r="S105" s="146" t="s">
        <v>810</v>
      </c>
      <c r="T105" s="146" t="s">
        <v>811</v>
      </c>
      <c r="U105" s="146" t="s">
        <v>812</v>
      </c>
      <c r="V105" s="146" t="s">
        <v>813</v>
      </c>
      <c r="W105" s="146" t="s">
        <v>814</v>
      </c>
      <c r="X105" s="172"/>
      <c r="Y105" s="155"/>
    </row>
    <row r="106" spans="1:25" ht="16.5" x14ac:dyDescent="0.15">
      <c r="A106" s="165">
        <v>2025</v>
      </c>
      <c r="B106" s="165">
        <v>108</v>
      </c>
      <c r="C106" s="165" t="s">
        <v>214</v>
      </c>
      <c r="D106" s="165" t="s">
        <v>815</v>
      </c>
      <c r="E106" s="167" t="s">
        <v>816</v>
      </c>
      <c r="F106" s="167" t="s">
        <v>677</v>
      </c>
      <c r="G106" s="168">
        <v>45984</v>
      </c>
      <c r="H106" s="169">
        <v>45984</v>
      </c>
      <c r="I106" s="169" t="s">
        <v>248</v>
      </c>
      <c r="J106" s="169"/>
      <c r="K106" s="200">
        <v>65000</v>
      </c>
      <c r="L106" s="165" t="s">
        <v>218</v>
      </c>
      <c r="M106" s="171"/>
      <c r="N106" s="146">
        <v>45981</v>
      </c>
      <c r="O106" s="146" t="s">
        <v>197</v>
      </c>
      <c r="P106" s="146" t="s">
        <v>273</v>
      </c>
      <c r="Q106" s="146"/>
      <c r="R106" s="146">
        <v>45984</v>
      </c>
      <c r="S106" s="146" t="s">
        <v>677</v>
      </c>
      <c r="T106" s="146" t="s">
        <v>621</v>
      </c>
      <c r="U106" s="146" t="s">
        <v>622</v>
      </c>
      <c r="V106" s="146" t="s">
        <v>778</v>
      </c>
      <c r="W106" s="146" t="s">
        <v>779</v>
      </c>
      <c r="X106" s="172"/>
      <c r="Y106" s="155"/>
    </row>
    <row r="107" spans="1:25" ht="231" x14ac:dyDescent="0.15">
      <c r="A107" s="165">
        <v>2025</v>
      </c>
      <c r="B107" s="165">
        <v>109</v>
      </c>
      <c r="C107" s="165" t="s">
        <v>375</v>
      </c>
      <c r="D107" s="165" t="s">
        <v>817</v>
      </c>
      <c r="E107" s="167" t="s">
        <v>818</v>
      </c>
      <c r="F107" s="167" t="s">
        <v>819</v>
      </c>
      <c r="G107" s="168">
        <v>46035</v>
      </c>
      <c r="H107" s="169">
        <v>46091</v>
      </c>
      <c r="I107" s="169" t="s">
        <v>248</v>
      </c>
      <c r="J107" s="169"/>
      <c r="K107" s="200">
        <v>21500000</v>
      </c>
      <c r="L107" s="165" t="s">
        <v>352</v>
      </c>
      <c r="M107" s="171"/>
      <c r="N107" s="146">
        <v>46114</v>
      </c>
      <c r="O107" s="212" t="s">
        <v>721</v>
      </c>
      <c r="P107" s="146"/>
      <c r="Q107" s="146">
        <v>46085</v>
      </c>
      <c r="R107" s="146">
        <v>46085</v>
      </c>
      <c r="S107" s="146" t="s">
        <v>332</v>
      </c>
      <c r="T107" s="146" t="s">
        <v>327</v>
      </c>
      <c r="U107" s="146" t="s">
        <v>328</v>
      </c>
      <c r="V107" s="146" t="s">
        <v>329</v>
      </c>
      <c r="W107" s="146" t="s">
        <v>820</v>
      </c>
      <c r="X107" s="132" t="s">
        <v>821</v>
      </c>
      <c r="Y107" s="172"/>
    </row>
    <row r="108" spans="1:25" ht="16.5" x14ac:dyDescent="0.15">
      <c r="A108" s="165">
        <v>2025</v>
      </c>
      <c r="B108" s="165">
        <v>110</v>
      </c>
      <c r="C108" s="165" t="s">
        <v>214</v>
      </c>
      <c r="D108" s="165" t="s">
        <v>822</v>
      </c>
      <c r="E108" s="167" t="s">
        <v>823</v>
      </c>
      <c r="F108" s="167" t="s">
        <v>648</v>
      </c>
      <c r="G108" s="168">
        <v>45982</v>
      </c>
      <c r="H108" s="169">
        <v>45982</v>
      </c>
      <c r="I108" s="169" t="s">
        <v>248</v>
      </c>
      <c r="J108" s="169"/>
      <c r="K108" s="200">
        <v>34000</v>
      </c>
      <c r="L108" s="165" t="s">
        <v>218</v>
      </c>
      <c r="M108" s="171"/>
      <c r="N108" s="146">
        <v>45988</v>
      </c>
      <c r="O108" s="146" t="s">
        <v>199</v>
      </c>
      <c r="P108" s="146"/>
      <c r="Q108" s="146"/>
      <c r="R108" s="146"/>
      <c r="S108" s="146" t="s">
        <v>648</v>
      </c>
      <c r="T108" s="146"/>
      <c r="U108" s="146"/>
      <c r="V108" s="146"/>
      <c r="W108" s="146" t="s">
        <v>824</v>
      </c>
      <c r="X108" s="172" t="s">
        <v>825</v>
      </c>
      <c r="Y108" s="155"/>
    </row>
    <row r="109" spans="1:25" ht="16.5" x14ac:dyDescent="0.15">
      <c r="A109" s="114">
        <v>2025</v>
      </c>
      <c r="B109" s="114">
        <v>111</v>
      </c>
      <c r="C109" s="114" t="s">
        <v>375</v>
      </c>
      <c r="D109" s="114" t="s">
        <v>826</v>
      </c>
      <c r="E109" s="151" t="s">
        <v>827</v>
      </c>
      <c r="F109" s="151" t="s">
        <v>828</v>
      </c>
      <c r="G109" s="152">
        <v>46091</v>
      </c>
      <c r="H109" s="112">
        <v>46173</v>
      </c>
      <c r="I109" s="112" t="s">
        <v>352</v>
      </c>
      <c r="J109" s="112">
        <v>46063</v>
      </c>
      <c r="K109" s="113">
        <v>34000000</v>
      </c>
      <c r="L109" s="114" t="s">
        <v>352</v>
      </c>
      <c r="M109" s="153"/>
      <c r="N109" s="116"/>
      <c r="O109" s="116"/>
      <c r="P109" s="116"/>
      <c r="Q109" s="116"/>
      <c r="R109" s="116"/>
      <c r="S109" s="116"/>
      <c r="T109" s="116"/>
      <c r="U109" s="116"/>
      <c r="V109" s="116"/>
      <c r="W109" s="116"/>
      <c r="X109" s="117"/>
      <c r="Y109" s="172"/>
    </row>
    <row r="110" spans="1:25" ht="16.5" x14ac:dyDescent="0.15">
      <c r="A110" s="114">
        <v>2025</v>
      </c>
      <c r="B110" s="114">
        <v>112</v>
      </c>
      <c r="C110" s="114" t="s">
        <v>572</v>
      </c>
      <c r="D110" s="114" t="s">
        <v>829</v>
      </c>
      <c r="E110" s="151" t="s">
        <v>830</v>
      </c>
      <c r="F110" s="151" t="s">
        <v>831</v>
      </c>
      <c r="G110" s="152">
        <v>45993</v>
      </c>
      <c r="H110" s="112">
        <v>46013</v>
      </c>
      <c r="I110" s="112" t="s">
        <v>218</v>
      </c>
      <c r="J110" s="112"/>
      <c r="K110" s="113">
        <v>2787000</v>
      </c>
      <c r="L110" s="114" t="s">
        <v>218</v>
      </c>
      <c r="M110" s="153"/>
      <c r="N110" s="116"/>
      <c r="O110" s="116"/>
      <c r="P110" s="116"/>
      <c r="Q110" s="116"/>
      <c r="R110" s="116"/>
      <c r="S110" s="116"/>
      <c r="T110" s="116"/>
      <c r="U110" s="116"/>
      <c r="V110" s="116"/>
      <c r="W110" s="116"/>
      <c r="X110" s="117"/>
      <c r="Y110" s="162"/>
    </row>
    <row r="111" spans="1:25" ht="16.5" x14ac:dyDescent="0.15">
      <c r="A111" s="114">
        <v>2025</v>
      </c>
      <c r="B111" s="114">
        <v>113</v>
      </c>
      <c r="C111" s="114" t="s">
        <v>572</v>
      </c>
      <c r="D111" s="114" t="s">
        <v>832</v>
      </c>
      <c r="E111" s="151" t="s">
        <v>833</v>
      </c>
      <c r="F111" s="151" t="s">
        <v>834</v>
      </c>
      <c r="G111" s="152">
        <v>45996</v>
      </c>
      <c r="H111" s="112">
        <v>45997</v>
      </c>
      <c r="I111" s="112" t="s">
        <v>248</v>
      </c>
      <c r="J111" s="112"/>
      <c r="K111" s="113">
        <v>360000</v>
      </c>
      <c r="L111" s="114" t="s">
        <v>218</v>
      </c>
      <c r="M111" s="153"/>
      <c r="N111" s="116"/>
      <c r="O111" s="116"/>
      <c r="P111" s="116"/>
      <c r="Q111" s="116"/>
      <c r="R111" s="116"/>
      <c r="S111" s="116"/>
      <c r="T111" s="116"/>
      <c r="U111" s="116"/>
      <c r="V111" s="116"/>
      <c r="W111" s="116"/>
      <c r="X111" s="117"/>
      <c r="Y111" s="192"/>
    </row>
    <row r="112" spans="1:25" ht="16.5" x14ac:dyDescent="0.15">
      <c r="A112" s="114">
        <v>2025</v>
      </c>
      <c r="B112" s="114">
        <v>114</v>
      </c>
      <c r="C112" s="114" t="s">
        <v>572</v>
      </c>
      <c r="D112" s="114" t="s">
        <v>835</v>
      </c>
      <c r="E112" s="151" t="s">
        <v>836</v>
      </c>
      <c r="F112" s="151" t="s">
        <v>831</v>
      </c>
      <c r="G112" s="152"/>
      <c r="H112" s="112"/>
      <c r="I112" s="112" t="s">
        <v>218</v>
      </c>
      <c r="J112" s="112"/>
      <c r="K112" s="113">
        <v>350000</v>
      </c>
      <c r="L112" s="114" t="s">
        <v>218</v>
      </c>
      <c r="M112" s="153"/>
      <c r="N112" s="116"/>
      <c r="O112" s="116"/>
      <c r="P112" s="116"/>
      <c r="Q112" s="116"/>
      <c r="R112" s="116"/>
      <c r="S112" s="116"/>
      <c r="T112" s="116"/>
      <c r="U112" s="116"/>
      <c r="V112" s="116"/>
      <c r="W112" s="116"/>
      <c r="X112" s="117"/>
      <c r="Y112" s="162"/>
    </row>
    <row r="113" spans="1:25" ht="16.5" x14ac:dyDescent="0.15">
      <c r="A113" s="165">
        <v>2025</v>
      </c>
      <c r="B113" s="165">
        <v>115</v>
      </c>
      <c r="C113" s="165" t="s">
        <v>211</v>
      </c>
      <c r="D113" s="165" t="s">
        <v>837</v>
      </c>
      <c r="E113" s="167" t="s">
        <v>838</v>
      </c>
      <c r="F113" s="167" t="s">
        <v>354</v>
      </c>
      <c r="G113" s="168">
        <v>45992</v>
      </c>
      <c r="H113" s="169">
        <v>45993</v>
      </c>
      <c r="I113" s="169" t="s">
        <v>218</v>
      </c>
      <c r="J113" s="169">
        <v>45986</v>
      </c>
      <c r="K113" s="200">
        <v>238000</v>
      </c>
      <c r="L113" s="165" t="s">
        <v>218</v>
      </c>
      <c r="M113" s="171"/>
      <c r="N113" s="146">
        <v>46036</v>
      </c>
      <c r="O113" s="146"/>
      <c r="P113" s="146"/>
      <c r="Q113" s="146">
        <v>46036</v>
      </c>
      <c r="R113" s="146">
        <v>45993</v>
      </c>
      <c r="S113" s="146" t="s">
        <v>354</v>
      </c>
      <c r="T113" s="146" t="s">
        <v>355</v>
      </c>
      <c r="U113" s="146" t="s">
        <v>356</v>
      </c>
      <c r="V113" s="146" t="s">
        <v>357</v>
      </c>
      <c r="W113" s="146" t="s">
        <v>354</v>
      </c>
      <c r="X113" s="172"/>
      <c r="Y113" s="172"/>
    </row>
    <row r="114" spans="1:25" ht="16.5" x14ac:dyDescent="0.15">
      <c r="A114" s="165">
        <v>2025</v>
      </c>
      <c r="B114" s="165">
        <v>116</v>
      </c>
      <c r="C114" s="165" t="s">
        <v>214</v>
      </c>
      <c r="D114" s="165" t="s">
        <v>839</v>
      </c>
      <c r="E114" s="167" t="s">
        <v>840</v>
      </c>
      <c r="F114" s="167" t="s">
        <v>597</v>
      </c>
      <c r="G114" s="168">
        <v>45987</v>
      </c>
      <c r="H114" s="169">
        <v>45992</v>
      </c>
      <c r="I114" s="169" t="s">
        <v>248</v>
      </c>
      <c r="J114" s="169"/>
      <c r="K114" s="200">
        <v>35000</v>
      </c>
      <c r="L114" s="165" t="s">
        <v>218</v>
      </c>
      <c r="M114" s="171"/>
      <c r="N114" s="146">
        <v>45993</v>
      </c>
      <c r="O114" s="146" t="s">
        <v>197</v>
      </c>
      <c r="P114" s="146" t="s">
        <v>273</v>
      </c>
      <c r="Q114" s="146"/>
      <c r="R114" s="146">
        <v>45992</v>
      </c>
      <c r="S114" s="146" t="s">
        <v>841</v>
      </c>
      <c r="T114" s="146" t="s">
        <v>842</v>
      </c>
      <c r="U114" s="146" t="s">
        <v>843</v>
      </c>
      <c r="V114" s="146" t="s">
        <v>474</v>
      </c>
      <c r="W114" s="146" t="s">
        <v>844</v>
      </c>
      <c r="X114" s="172"/>
      <c r="Y114" s="155"/>
    </row>
    <row r="115" spans="1:25" ht="16.5" x14ac:dyDescent="0.15">
      <c r="A115" s="184">
        <v>2025</v>
      </c>
      <c r="B115" s="184">
        <v>117</v>
      </c>
      <c r="C115" s="184" t="s">
        <v>209</v>
      </c>
      <c r="D115" s="184" t="s">
        <v>845</v>
      </c>
      <c r="E115" s="186" t="s">
        <v>846</v>
      </c>
      <c r="F115" s="186" t="s">
        <v>347</v>
      </c>
      <c r="G115" s="187">
        <v>46001</v>
      </c>
      <c r="H115" s="188">
        <v>46063</v>
      </c>
      <c r="I115" s="188" t="s">
        <v>248</v>
      </c>
      <c r="J115" s="188">
        <v>45999</v>
      </c>
      <c r="K115" s="189">
        <v>550000</v>
      </c>
      <c r="L115" s="184" t="s">
        <v>555</v>
      </c>
      <c r="M115" s="190"/>
      <c r="N115" s="142" t="s">
        <v>556</v>
      </c>
      <c r="O115" s="142"/>
      <c r="P115" s="142"/>
      <c r="Q115" s="142"/>
      <c r="R115" s="142"/>
      <c r="S115" s="142"/>
      <c r="T115" s="142"/>
      <c r="U115" s="142"/>
      <c r="V115" s="142"/>
      <c r="W115" s="142"/>
      <c r="X115" s="155"/>
      <c r="Y115" s="155"/>
    </row>
    <row r="116" spans="1:25" ht="16.5" x14ac:dyDescent="0.15">
      <c r="A116" s="114">
        <v>2025</v>
      </c>
      <c r="B116" s="114">
        <v>118</v>
      </c>
      <c r="C116" s="114" t="s">
        <v>847</v>
      </c>
      <c r="D116" s="114" t="s">
        <v>848</v>
      </c>
      <c r="E116" s="151" t="s">
        <v>849</v>
      </c>
      <c r="F116" s="151" t="s">
        <v>850</v>
      </c>
      <c r="G116" s="152">
        <v>46006</v>
      </c>
      <c r="H116" s="112">
        <v>46018</v>
      </c>
      <c r="I116" s="112" t="s">
        <v>248</v>
      </c>
      <c r="J116" s="112">
        <v>46001</v>
      </c>
      <c r="K116" s="113">
        <v>230000</v>
      </c>
      <c r="L116" s="114" t="s">
        <v>218</v>
      </c>
      <c r="M116" s="153"/>
      <c r="N116" s="116"/>
      <c r="O116" s="116"/>
      <c r="P116" s="116"/>
      <c r="Q116" s="116"/>
      <c r="R116" s="116"/>
      <c r="S116" s="116"/>
      <c r="T116" s="116"/>
      <c r="U116" s="116"/>
      <c r="V116" s="116"/>
      <c r="W116" s="116"/>
      <c r="X116" s="117"/>
      <c r="Y116" s="155"/>
    </row>
    <row r="117" spans="1:25" ht="16.5" x14ac:dyDescent="0.15">
      <c r="A117" s="184">
        <v>2025</v>
      </c>
      <c r="B117" s="184">
        <v>119</v>
      </c>
      <c r="C117" s="184" t="s">
        <v>209</v>
      </c>
      <c r="D117" s="184" t="s">
        <v>851</v>
      </c>
      <c r="E117" s="217" t="s">
        <v>852</v>
      </c>
      <c r="F117" s="186" t="s">
        <v>347</v>
      </c>
      <c r="G117" s="187">
        <v>46016</v>
      </c>
      <c r="H117" s="188">
        <v>46016</v>
      </c>
      <c r="I117" s="188" t="s">
        <v>248</v>
      </c>
      <c r="J117" s="188">
        <v>46001</v>
      </c>
      <c r="K117" s="189">
        <v>650000</v>
      </c>
      <c r="L117" s="184" t="s">
        <v>554</v>
      </c>
      <c r="M117" s="190"/>
      <c r="N117" s="142" t="s">
        <v>556</v>
      </c>
      <c r="O117" s="142"/>
      <c r="P117" s="142"/>
      <c r="Q117" s="142"/>
      <c r="R117" s="142"/>
      <c r="S117" s="142"/>
      <c r="T117" s="142"/>
      <c r="U117" s="142"/>
      <c r="V117" s="142"/>
      <c r="W117" s="142"/>
      <c r="X117" s="155"/>
      <c r="Y117" s="155"/>
    </row>
    <row r="118" spans="1:25" ht="16.5" x14ac:dyDescent="0.15">
      <c r="A118" s="165">
        <v>2025</v>
      </c>
      <c r="B118" s="165">
        <v>120</v>
      </c>
      <c r="C118" s="165" t="s">
        <v>214</v>
      </c>
      <c r="D118" s="165" t="s">
        <v>853</v>
      </c>
      <c r="E118" s="167" t="s">
        <v>854</v>
      </c>
      <c r="F118" s="167" t="s">
        <v>855</v>
      </c>
      <c r="G118" s="168">
        <v>45959</v>
      </c>
      <c r="H118" s="169">
        <v>45959</v>
      </c>
      <c r="I118" s="169" t="s">
        <v>352</v>
      </c>
      <c r="J118" s="169"/>
      <c r="K118" s="200">
        <v>68000</v>
      </c>
      <c r="L118" s="165" t="s">
        <v>253</v>
      </c>
      <c r="M118" s="171"/>
      <c r="N118" s="146">
        <v>46004</v>
      </c>
      <c r="O118" s="146" t="s">
        <v>197</v>
      </c>
      <c r="P118" s="146" t="s">
        <v>273</v>
      </c>
      <c r="Q118" s="146">
        <v>45959</v>
      </c>
      <c r="R118" s="146">
        <v>45959</v>
      </c>
      <c r="S118" s="146" t="s">
        <v>856</v>
      </c>
      <c r="T118" s="146" t="s">
        <v>621</v>
      </c>
      <c r="U118" s="146" t="s">
        <v>857</v>
      </c>
      <c r="V118" s="146" t="s">
        <v>474</v>
      </c>
      <c r="W118" s="146" t="s">
        <v>858</v>
      </c>
      <c r="X118" s="172" t="s">
        <v>590</v>
      </c>
      <c r="Y118" s="172"/>
    </row>
    <row r="119" spans="1:25" ht="165" x14ac:dyDescent="0.15">
      <c r="A119" s="165">
        <v>2025</v>
      </c>
      <c r="B119" s="165">
        <v>121</v>
      </c>
      <c r="C119" s="165" t="s">
        <v>214</v>
      </c>
      <c r="D119" s="165" t="s">
        <v>859</v>
      </c>
      <c r="E119" s="167" t="s">
        <v>860</v>
      </c>
      <c r="F119" s="167" t="s">
        <v>861</v>
      </c>
      <c r="G119" s="168">
        <v>46008</v>
      </c>
      <c r="H119" s="169">
        <v>46052</v>
      </c>
      <c r="I119" s="169" t="s">
        <v>352</v>
      </c>
      <c r="J119" s="169"/>
      <c r="K119" s="200">
        <v>240000</v>
      </c>
      <c r="L119" s="165" t="s">
        <v>253</v>
      </c>
      <c r="M119" s="171"/>
      <c r="N119" s="146">
        <v>46030</v>
      </c>
      <c r="O119" s="146" t="s">
        <v>197</v>
      </c>
      <c r="P119" s="146" t="s">
        <v>862</v>
      </c>
      <c r="Q119" s="146">
        <v>46030</v>
      </c>
      <c r="R119" s="146">
        <v>46028</v>
      </c>
      <c r="S119" s="146" t="s">
        <v>863</v>
      </c>
      <c r="T119" s="146" t="s">
        <v>864</v>
      </c>
      <c r="U119" s="216" t="s">
        <v>865</v>
      </c>
      <c r="V119" s="146" t="s">
        <v>866</v>
      </c>
      <c r="W119" s="146" t="s">
        <v>867</v>
      </c>
      <c r="X119" s="172" t="s">
        <v>868</v>
      </c>
      <c r="Y119" s="155"/>
    </row>
    <row r="120" spans="1:25" ht="16.5" x14ac:dyDescent="0.15">
      <c r="A120" s="184">
        <v>2025</v>
      </c>
      <c r="B120" s="184">
        <v>122</v>
      </c>
      <c r="C120" s="184" t="s">
        <v>209</v>
      </c>
      <c r="D120" s="184" t="s">
        <v>869</v>
      </c>
      <c r="E120" s="186" t="s">
        <v>870</v>
      </c>
      <c r="F120" s="186" t="s">
        <v>871</v>
      </c>
      <c r="G120" s="187">
        <v>46037</v>
      </c>
      <c r="H120" s="188">
        <v>46037</v>
      </c>
      <c r="I120" s="169" t="s">
        <v>218</v>
      </c>
      <c r="J120" s="188"/>
      <c r="K120" s="189">
        <v>140000</v>
      </c>
      <c r="L120" s="184" t="s">
        <v>218</v>
      </c>
      <c r="M120" s="190"/>
      <c r="N120" s="142">
        <v>46043</v>
      </c>
      <c r="O120" s="142"/>
      <c r="P120" s="142"/>
      <c r="Q120" s="142">
        <v>46043</v>
      </c>
      <c r="R120" s="142">
        <v>46043</v>
      </c>
      <c r="S120" s="142" t="s">
        <v>872</v>
      </c>
      <c r="T120" s="142" t="s">
        <v>873</v>
      </c>
      <c r="U120" s="142" t="s">
        <v>874</v>
      </c>
      <c r="V120" s="142" t="s">
        <v>875</v>
      </c>
      <c r="W120" s="142"/>
      <c r="X120" s="155" t="s">
        <v>876</v>
      </c>
      <c r="Y120" s="172"/>
    </row>
    <row r="121" spans="1:25" ht="16.5" x14ac:dyDescent="0.15">
      <c r="A121" s="165">
        <v>2025</v>
      </c>
      <c r="B121" s="165">
        <v>123</v>
      </c>
      <c r="C121" s="165" t="s">
        <v>214</v>
      </c>
      <c r="D121" s="165" t="s">
        <v>877</v>
      </c>
      <c r="E121" s="167" t="s">
        <v>878</v>
      </c>
      <c r="F121" s="167" t="s">
        <v>879</v>
      </c>
      <c r="G121" s="168">
        <v>45981</v>
      </c>
      <c r="H121" s="169">
        <v>45981</v>
      </c>
      <c r="I121" s="169" t="s">
        <v>248</v>
      </c>
      <c r="J121" s="169"/>
      <c r="K121" s="200">
        <v>85400</v>
      </c>
      <c r="L121" s="165" t="s">
        <v>218</v>
      </c>
      <c r="M121" s="171"/>
      <c r="N121" s="146">
        <v>46017</v>
      </c>
      <c r="O121" s="146"/>
      <c r="P121" s="146"/>
      <c r="Q121" s="146"/>
      <c r="R121" s="146"/>
      <c r="S121" s="146" t="s">
        <v>856</v>
      </c>
      <c r="T121" s="146" t="s">
        <v>621</v>
      </c>
      <c r="U121" s="146" t="s">
        <v>857</v>
      </c>
      <c r="V121" s="146" t="s">
        <v>474</v>
      </c>
      <c r="W121" s="146" t="s">
        <v>858</v>
      </c>
      <c r="X121" s="172"/>
      <c r="Y121" s="155"/>
    </row>
    <row r="122" spans="1:25" ht="16.5" x14ac:dyDescent="0.15">
      <c r="A122" s="165">
        <v>2025</v>
      </c>
      <c r="B122" s="165">
        <v>124</v>
      </c>
      <c r="C122" s="165" t="s">
        <v>214</v>
      </c>
      <c r="D122" s="165" t="s">
        <v>880</v>
      </c>
      <c r="E122" s="167" t="s">
        <v>881</v>
      </c>
      <c r="F122" s="167" t="s">
        <v>882</v>
      </c>
      <c r="G122" s="168">
        <v>46029</v>
      </c>
      <c r="H122" s="169">
        <v>46029</v>
      </c>
      <c r="I122" s="169" t="s">
        <v>248</v>
      </c>
      <c r="J122" s="169">
        <v>46028</v>
      </c>
      <c r="K122" s="200">
        <v>35000</v>
      </c>
      <c r="L122" s="165" t="s">
        <v>218</v>
      </c>
      <c r="M122" s="171"/>
      <c r="N122" s="146">
        <v>46034</v>
      </c>
      <c r="O122" s="146" t="s">
        <v>197</v>
      </c>
      <c r="P122" s="146" t="s">
        <v>273</v>
      </c>
      <c r="Q122" s="146">
        <v>46034</v>
      </c>
      <c r="R122" s="146">
        <v>46029</v>
      </c>
      <c r="S122" s="146" t="s">
        <v>841</v>
      </c>
      <c r="T122" s="146" t="s">
        <v>842</v>
      </c>
      <c r="U122" s="146" t="s">
        <v>883</v>
      </c>
      <c r="V122" s="146" t="s">
        <v>474</v>
      </c>
      <c r="W122" s="146" t="s">
        <v>884</v>
      </c>
      <c r="X122" s="172" t="s">
        <v>590</v>
      </c>
      <c r="Y122" s="155"/>
    </row>
    <row r="123" spans="1:25" ht="49.5" x14ac:dyDescent="0.15">
      <c r="A123" s="165">
        <v>2025</v>
      </c>
      <c r="B123" s="165">
        <v>125</v>
      </c>
      <c r="C123" s="165" t="s">
        <v>214</v>
      </c>
      <c r="D123" s="165" t="s">
        <v>885</v>
      </c>
      <c r="E123" s="167" t="s">
        <v>886</v>
      </c>
      <c r="F123" s="167" t="s">
        <v>887</v>
      </c>
      <c r="G123" s="168">
        <v>46016</v>
      </c>
      <c r="H123" s="169">
        <v>46016</v>
      </c>
      <c r="I123" s="169" t="s">
        <v>248</v>
      </c>
      <c r="J123" s="169">
        <v>46036</v>
      </c>
      <c r="K123" s="200">
        <v>50000</v>
      </c>
      <c r="L123" s="165" t="s">
        <v>218</v>
      </c>
      <c r="M123" s="171"/>
      <c r="N123" s="146">
        <v>46034</v>
      </c>
      <c r="O123" s="146" t="s">
        <v>197</v>
      </c>
      <c r="P123" s="146" t="s">
        <v>273</v>
      </c>
      <c r="Q123" s="146">
        <v>46036</v>
      </c>
      <c r="R123" s="146">
        <v>46016</v>
      </c>
      <c r="S123" s="146" t="s">
        <v>856</v>
      </c>
      <c r="T123" s="146" t="s">
        <v>621</v>
      </c>
      <c r="U123" s="146" t="s">
        <v>857</v>
      </c>
      <c r="V123" s="146" t="s">
        <v>474</v>
      </c>
      <c r="W123" s="146" t="s">
        <v>858</v>
      </c>
      <c r="X123" s="132" t="s">
        <v>888</v>
      </c>
      <c r="Y123" s="117"/>
    </row>
    <row r="124" spans="1:25" ht="33" x14ac:dyDescent="0.15">
      <c r="A124" s="114">
        <v>2025</v>
      </c>
      <c r="B124" s="114">
        <v>126</v>
      </c>
      <c r="C124" s="114" t="s">
        <v>314</v>
      </c>
      <c r="D124" s="114" t="s">
        <v>889</v>
      </c>
      <c r="E124" s="151" t="s">
        <v>890</v>
      </c>
      <c r="F124" s="151" t="s">
        <v>891</v>
      </c>
      <c r="G124" s="152">
        <v>46045</v>
      </c>
      <c r="H124" s="112">
        <v>46446</v>
      </c>
      <c r="I124" s="112" t="s">
        <v>352</v>
      </c>
      <c r="J124" s="112">
        <v>46044</v>
      </c>
      <c r="K124" s="113">
        <v>472780000</v>
      </c>
      <c r="L124" s="114" t="s">
        <v>352</v>
      </c>
      <c r="M124" s="183" t="s">
        <v>348</v>
      </c>
      <c r="N124" s="152"/>
      <c r="O124" s="152"/>
      <c r="P124" s="152"/>
      <c r="Q124" s="152"/>
      <c r="R124" s="152"/>
      <c r="S124" s="152"/>
      <c r="T124" s="152"/>
      <c r="U124" s="152"/>
      <c r="V124" s="152"/>
      <c r="W124" s="152"/>
      <c r="X124" s="162"/>
      <c r="Y124" s="117"/>
    </row>
    <row r="125" spans="1:25" ht="16.5" x14ac:dyDescent="0.15">
      <c r="A125" s="114">
        <v>2025</v>
      </c>
      <c r="B125" s="114">
        <v>127</v>
      </c>
      <c r="C125" s="114" t="s">
        <v>892</v>
      </c>
      <c r="D125" s="114" t="s">
        <v>893</v>
      </c>
      <c r="E125" s="151" t="s">
        <v>894</v>
      </c>
      <c r="F125" s="151" t="s">
        <v>895</v>
      </c>
      <c r="G125" s="152">
        <v>46050</v>
      </c>
      <c r="H125" s="112">
        <v>46073</v>
      </c>
      <c r="I125" s="112" t="s">
        <v>248</v>
      </c>
      <c r="J125" s="112" t="s">
        <v>896</v>
      </c>
      <c r="K125" s="113">
        <v>7128000</v>
      </c>
      <c r="L125" s="114" t="s">
        <v>559</v>
      </c>
      <c r="M125" s="153"/>
      <c r="N125" s="152"/>
      <c r="O125" s="152"/>
      <c r="P125" s="152"/>
      <c r="Q125" s="152"/>
      <c r="R125" s="152"/>
      <c r="S125" s="152"/>
      <c r="T125" s="152"/>
      <c r="U125" s="152"/>
      <c r="V125" s="152"/>
      <c r="W125" s="152"/>
      <c r="X125" s="162"/>
      <c r="Y125" s="155"/>
    </row>
    <row r="126" spans="1:25" ht="16.5" x14ac:dyDescent="0.15">
      <c r="A126" s="269">
        <v>2025</v>
      </c>
      <c r="B126" s="269">
        <v>128</v>
      </c>
      <c r="C126" s="269"/>
      <c r="D126" s="269"/>
      <c r="E126" s="270" t="s">
        <v>897</v>
      </c>
      <c r="F126" s="270"/>
      <c r="G126" s="271"/>
      <c r="H126" s="272"/>
      <c r="I126" s="272"/>
      <c r="J126" s="272"/>
      <c r="K126" s="273"/>
      <c r="L126" s="269"/>
      <c r="M126" s="274"/>
      <c r="N126" s="271"/>
      <c r="O126" s="271"/>
      <c r="P126" s="271"/>
      <c r="Q126" s="271"/>
      <c r="R126" s="271"/>
      <c r="S126" s="271"/>
      <c r="T126" s="271"/>
      <c r="U126" s="271"/>
      <c r="V126" s="271"/>
      <c r="W126" s="271"/>
      <c r="X126" s="275"/>
      <c r="Y126" s="252"/>
    </row>
    <row r="127" spans="1:25" ht="16.5" x14ac:dyDescent="0.15">
      <c r="A127" s="165">
        <v>2025</v>
      </c>
      <c r="B127" s="165">
        <v>129</v>
      </c>
      <c r="C127" s="165" t="s">
        <v>214</v>
      </c>
      <c r="D127" s="165" t="s">
        <v>898</v>
      </c>
      <c r="E127" s="167" t="s">
        <v>899</v>
      </c>
      <c r="F127" s="167" t="s">
        <v>900</v>
      </c>
      <c r="G127" s="168">
        <v>46031</v>
      </c>
      <c r="H127" s="169">
        <v>46031</v>
      </c>
      <c r="I127" s="169" t="s">
        <v>248</v>
      </c>
      <c r="J127" s="169"/>
      <c r="K127" s="200">
        <v>60000</v>
      </c>
      <c r="L127" s="165" t="s">
        <v>218</v>
      </c>
      <c r="M127" s="171" t="s">
        <v>901</v>
      </c>
      <c r="N127" s="168">
        <v>46045</v>
      </c>
      <c r="O127" s="168" t="s">
        <v>237</v>
      </c>
      <c r="P127" s="168" t="s">
        <v>321</v>
      </c>
      <c r="Q127" s="168">
        <v>46045</v>
      </c>
      <c r="R127" s="168">
        <v>46031</v>
      </c>
      <c r="S127" s="168" t="s">
        <v>678</v>
      </c>
      <c r="T127" s="168" t="s">
        <v>297</v>
      </c>
      <c r="U127" s="168" t="s">
        <v>679</v>
      </c>
      <c r="V127" s="168" t="s">
        <v>902</v>
      </c>
      <c r="W127" s="168" t="s">
        <v>681</v>
      </c>
      <c r="X127" s="192"/>
      <c r="Y127" s="117"/>
    </row>
    <row r="128" spans="1:25" ht="16.5" x14ac:dyDescent="0.15">
      <c r="A128" s="165">
        <v>2025</v>
      </c>
      <c r="B128" s="165">
        <v>130</v>
      </c>
      <c r="C128" s="165" t="s">
        <v>211</v>
      </c>
      <c r="D128" s="165" t="s">
        <v>903</v>
      </c>
      <c r="E128" s="167" t="s">
        <v>904</v>
      </c>
      <c r="F128" s="167" t="s">
        <v>905</v>
      </c>
      <c r="G128" s="168">
        <v>46013</v>
      </c>
      <c r="H128" s="169">
        <v>46038</v>
      </c>
      <c r="I128" s="169" t="s">
        <v>253</v>
      </c>
      <c r="J128" s="169"/>
      <c r="K128" s="200">
        <v>123000</v>
      </c>
      <c r="L128" s="165" t="s">
        <v>218</v>
      </c>
      <c r="M128" s="171"/>
      <c r="N128" s="168">
        <v>46065</v>
      </c>
      <c r="O128" s="168"/>
      <c r="P128" s="168"/>
      <c r="Q128" s="168"/>
      <c r="R128" s="168"/>
      <c r="S128" s="168" t="s">
        <v>354</v>
      </c>
      <c r="T128" s="168" t="s">
        <v>355</v>
      </c>
      <c r="U128" s="168" t="s">
        <v>356</v>
      </c>
      <c r="V128" s="168" t="s">
        <v>357</v>
      </c>
      <c r="W128" s="168" t="s">
        <v>354</v>
      </c>
      <c r="X128" s="192"/>
      <c r="Y128" s="172"/>
    </row>
    <row r="129" spans="1:25" ht="231" x14ac:dyDescent="0.15">
      <c r="A129" s="261">
        <v>2023</v>
      </c>
      <c r="B129" s="261">
        <v>131</v>
      </c>
      <c r="C129" s="261" t="s">
        <v>375</v>
      </c>
      <c r="D129" s="261" t="s">
        <v>906</v>
      </c>
      <c r="E129" s="262" t="s">
        <v>907</v>
      </c>
      <c r="F129" s="262" t="s">
        <v>908</v>
      </c>
      <c r="G129" s="263">
        <v>46017</v>
      </c>
      <c r="H129" s="264">
        <v>46021</v>
      </c>
      <c r="I129" s="264" t="s">
        <v>253</v>
      </c>
      <c r="J129" s="264"/>
      <c r="K129" s="267">
        <v>364400</v>
      </c>
      <c r="L129" s="261" t="s">
        <v>218</v>
      </c>
      <c r="M129" s="265" t="s">
        <v>909</v>
      </c>
      <c r="N129" s="263">
        <v>46049</v>
      </c>
      <c r="O129" s="263" t="s">
        <v>910</v>
      </c>
      <c r="P129" s="263" t="s">
        <v>384</v>
      </c>
      <c r="Q129" s="263">
        <v>46049</v>
      </c>
      <c r="R129" s="263">
        <v>46021</v>
      </c>
      <c r="S129" s="263" t="s">
        <v>326</v>
      </c>
      <c r="T129" s="263" t="s">
        <v>324</v>
      </c>
      <c r="U129" s="263" t="s">
        <v>911</v>
      </c>
      <c r="V129" s="263" t="s">
        <v>912</v>
      </c>
      <c r="W129" s="263" t="s">
        <v>326</v>
      </c>
      <c r="X129" s="268" t="s">
        <v>913</v>
      </c>
      <c r="Y129" s="252"/>
    </row>
    <row r="130" spans="1:25" ht="16.5" x14ac:dyDescent="0.15">
      <c r="A130" s="165">
        <v>2025</v>
      </c>
      <c r="B130" s="165">
        <v>132</v>
      </c>
      <c r="C130" s="165" t="s">
        <v>214</v>
      </c>
      <c r="D130" s="165" t="s">
        <v>914</v>
      </c>
      <c r="E130" s="167" t="s">
        <v>915</v>
      </c>
      <c r="F130" s="167" t="s">
        <v>677</v>
      </c>
      <c r="G130" s="168">
        <v>46036</v>
      </c>
      <c r="H130" s="169">
        <v>46036</v>
      </c>
      <c r="I130" s="169" t="s">
        <v>248</v>
      </c>
      <c r="J130" s="169">
        <v>46036</v>
      </c>
      <c r="K130" s="200">
        <v>90000</v>
      </c>
      <c r="L130" s="165" t="s">
        <v>218</v>
      </c>
      <c r="M130" s="171"/>
      <c r="N130" s="168">
        <v>46049</v>
      </c>
      <c r="O130" s="168" t="s">
        <v>197</v>
      </c>
      <c r="P130" s="168" t="s">
        <v>273</v>
      </c>
      <c r="Q130" s="168">
        <v>46049</v>
      </c>
      <c r="R130" s="168">
        <v>46036</v>
      </c>
      <c r="S130" s="168" t="s">
        <v>677</v>
      </c>
      <c r="T130" s="168" t="s">
        <v>621</v>
      </c>
      <c r="U130" s="168" t="s">
        <v>622</v>
      </c>
      <c r="V130" s="168" t="s">
        <v>778</v>
      </c>
      <c r="W130" s="168" t="s">
        <v>624</v>
      </c>
      <c r="X130" s="192"/>
      <c r="Y130" s="172"/>
    </row>
    <row r="131" spans="1:25" ht="16.5" x14ac:dyDescent="0.15">
      <c r="A131" s="114">
        <v>2025</v>
      </c>
      <c r="B131" s="114">
        <v>133</v>
      </c>
      <c r="C131" s="114" t="s">
        <v>572</v>
      </c>
      <c r="D131" s="114" t="s">
        <v>916</v>
      </c>
      <c r="E131" s="151" t="s">
        <v>917</v>
      </c>
      <c r="F131" s="151" t="s">
        <v>831</v>
      </c>
      <c r="G131" s="152">
        <v>46069</v>
      </c>
      <c r="H131" s="112">
        <v>46092</v>
      </c>
      <c r="I131" s="112" t="s">
        <v>352</v>
      </c>
      <c r="J131" s="112"/>
      <c r="K131" s="113">
        <v>2000000</v>
      </c>
      <c r="L131" s="114" t="s">
        <v>218</v>
      </c>
      <c r="M131" s="153"/>
      <c r="N131" s="152"/>
      <c r="O131" s="152"/>
      <c r="P131" s="152"/>
      <c r="Q131" s="152"/>
      <c r="R131" s="152"/>
      <c r="S131" s="152"/>
      <c r="T131" s="152"/>
      <c r="U131" s="152"/>
      <c r="V131" s="152"/>
      <c r="W131" s="152"/>
      <c r="X131" s="162"/>
      <c r="Y131" s="162"/>
    </row>
    <row r="132" spans="1:25" ht="16.5" x14ac:dyDescent="0.15">
      <c r="A132" s="261">
        <v>2023</v>
      </c>
      <c r="B132" s="261">
        <v>134</v>
      </c>
      <c r="C132" s="261" t="s">
        <v>375</v>
      </c>
      <c r="D132" s="261" t="s">
        <v>918</v>
      </c>
      <c r="E132" s="262" t="s">
        <v>919</v>
      </c>
      <c r="F132" s="262" t="s">
        <v>920</v>
      </c>
      <c r="G132" s="263">
        <v>46016</v>
      </c>
      <c r="H132" s="264">
        <v>46016</v>
      </c>
      <c r="I132" s="264" t="s">
        <v>253</v>
      </c>
      <c r="J132" s="264"/>
      <c r="K132" s="267">
        <v>44000</v>
      </c>
      <c r="L132" s="261" t="s">
        <v>218</v>
      </c>
      <c r="M132" s="265"/>
      <c r="N132" s="263">
        <v>46051</v>
      </c>
      <c r="O132" s="263" t="s">
        <v>197</v>
      </c>
      <c r="P132" s="263" t="s">
        <v>384</v>
      </c>
      <c r="Q132" s="263">
        <v>46051</v>
      </c>
      <c r="R132" s="263">
        <v>46016</v>
      </c>
      <c r="S132" s="263" t="s">
        <v>921</v>
      </c>
      <c r="T132" s="263" t="s">
        <v>922</v>
      </c>
      <c r="U132" s="263" t="s">
        <v>923</v>
      </c>
      <c r="V132" s="263" t="s">
        <v>924</v>
      </c>
      <c r="W132" s="263" t="s">
        <v>925</v>
      </c>
      <c r="X132" s="266" t="s">
        <v>926</v>
      </c>
      <c r="Y132" s="253"/>
    </row>
    <row r="133" spans="1:25" ht="198" x14ac:dyDescent="0.15">
      <c r="A133" s="114">
        <v>2025</v>
      </c>
      <c r="B133" s="114">
        <v>135</v>
      </c>
      <c r="C133" s="114" t="s">
        <v>213</v>
      </c>
      <c r="D133" s="114" t="s">
        <v>927</v>
      </c>
      <c r="E133" s="151" t="s">
        <v>928</v>
      </c>
      <c r="F133" s="151" t="s">
        <v>929</v>
      </c>
      <c r="G133" s="152">
        <v>46052</v>
      </c>
      <c r="H133" s="112">
        <v>46052</v>
      </c>
      <c r="I133" s="112" t="s">
        <v>218</v>
      </c>
      <c r="J133" s="112">
        <v>46051</v>
      </c>
      <c r="K133" s="113">
        <v>220000</v>
      </c>
      <c r="L133" s="114" t="s">
        <v>218</v>
      </c>
      <c r="M133" s="225" t="s">
        <v>930</v>
      </c>
      <c r="N133" s="152"/>
      <c r="O133" s="152"/>
      <c r="P133" s="152"/>
      <c r="Q133" s="152"/>
      <c r="R133" s="152"/>
      <c r="S133" s="152"/>
      <c r="T133" s="152"/>
      <c r="U133" s="152"/>
      <c r="V133" s="152"/>
      <c r="W133" s="152"/>
      <c r="X133" s="162"/>
      <c r="Y133" s="132"/>
    </row>
    <row r="134" spans="1:25" ht="148.5" x14ac:dyDescent="0.15">
      <c r="A134" s="114">
        <v>2025</v>
      </c>
      <c r="B134" s="114">
        <v>136</v>
      </c>
      <c r="C134" s="114" t="s">
        <v>219</v>
      </c>
      <c r="D134" s="114" t="s">
        <v>931</v>
      </c>
      <c r="E134" s="151" t="s">
        <v>932</v>
      </c>
      <c r="F134" s="151" t="s">
        <v>933</v>
      </c>
      <c r="G134" s="182" t="s">
        <v>934</v>
      </c>
      <c r="H134" s="226" t="s">
        <v>935</v>
      </c>
      <c r="I134" s="112" t="s">
        <v>248</v>
      </c>
      <c r="J134" s="112" t="s">
        <v>936</v>
      </c>
      <c r="K134" s="113">
        <v>134000000</v>
      </c>
      <c r="L134" s="114" t="s">
        <v>248</v>
      </c>
      <c r="M134" s="227" t="s">
        <v>937</v>
      </c>
      <c r="N134" s="152"/>
      <c r="O134" s="152"/>
      <c r="P134" s="152"/>
      <c r="Q134" s="152"/>
      <c r="R134" s="152"/>
      <c r="S134" s="152"/>
      <c r="T134" s="152"/>
      <c r="U134" s="152"/>
      <c r="V134" s="152"/>
      <c r="W134" s="152"/>
      <c r="X134" s="162"/>
      <c r="Y134" s="117"/>
    </row>
    <row r="135" spans="1:25" ht="16.5" x14ac:dyDescent="0.15">
      <c r="A135" s="114">
        <v>2025</v>
      </c>
      <c r="B135" s="114">
        <v>137</v>
      </c>
      <c r="C135" s="114" t="s">
        <v>211</v>
      </c>
      <c r="D135" s="114" t="s">
        <v>938</v>
      </c>
      <c r="E135" s="151" t="s">
        <v>939</v>
      </c>
      <c r="F135" s="151" t="s">
        <v>607</v>
      </c>
      <c r="G135" s="152">
        <v>46055</v>
      </c>
      <c r="H135" s="112">
        <v>46110</v>
      </c>
      <c r="I135" s="112" t="s">
        <v>248</v>
      </c>
      <c r="J135" s="112">
        <v>46051</v>
      </c>
      <c r="K135" s="113">
        <v>2750000</v>
      </c>
      <c r="L135" s="114" t="s">
        <v>554</v>
      </c>
      <c r="M135" s="153"/>
      <c r="N135" s="152"/>
      <c r="O135" s="152"/>
      <c r="P135" s="152"/>
      <c r="Q135" s="152"/>
      <c r="R135" s="152"/>
      <c r="S135" s="152"/>
      <c r="T135" s="152"/>
      <c r="U135" s="152"/>
      <c r="V135" s="152"/>
      <c r="W135" s="152"/>
      <c r="X135" s="162"/>
      <c r="Y135" s="117"/>
    </row>
    <row r="136" spans="1:25" ht="16.5" x14ac:dyDescent="0.15">
      <c r="A136" s="165">
        <v>2025</v>
      </c>
      <c r="B136" s="165">
        <v>138</v>
      </c>
      <c r="C136" s="165" t="s">
        <v>566</v>
      </c>
      <c r="D136" s="165" t="s">
        <v>940</v>
      </c>
      <c r="E136" s="167" t="s">
        <v>941</v>
      </c>
      <c r="F136" s="167" t="s">
        <v>568</v>
      </c>
      <c r="G136" s="168">
        <v>46064</v>
      </c>
      <c r="H136" s="169">
        <v>46064</v>
      </c>
      <c r="I136" s="169" t="s">
        <v>352</v>
      </c>
      <c r="J136" s="169">
        <v>46057</v>
      </c>
      <c r="K136" s="200">
        <v>710000</v>
      </c>
      <c r="L136" s="165" t="s">
        <v>253</v>
      </c>
      <c r="M136" s="171"/>
      <c r="N136" s="168">
        <v>46064</v>
      </c>
      <c r="O136" s="168" t="s">
        <v>237</v>
      </c>
      <c r="P136" s="168"/>
      <c r="Q136" s="168">
        <v>46086</v>
      </c>
      <c r="R136" s="168">
        <v>46064</v>
      </c>
      <c r="S136" s="168" t="s">
        <v>1104</v>
      </c>
      <c r="T136" s="168" t="s">
        <v>1066</v>
      </c>
      <c r="U136" s="168" t="s">
        <v>1067</v>
      </c>
      <c r="V136" s="168" t="s">
        <v>342</v>
      </c>
      <c r="W136" s="168" t="s">
        <v>1068</v>
      </c>
      <c r="X136" s="192"/>
      <c r="Y136" s="192"/>
    </row>
    <row r="137" spans="1:25" ht="16.5" x14ac:dyDescent="0.15">
      <c r="A137" s="165">
        <v>2025</v>
      </c>
      <c r="B137" s="165">
        <v>139</v>
      </c>
      <c r="C137" s="165" t="s">
        <v>214</v>
      </c>
      <c r="D137" s="165" t="s">
        <v>942</v>
      </c>
      <c r="E137" s="167" t="s">
        <v>943</v>
      </c>
      <c r="F137" s="167" t="s">
        <v>944</v>
      </c>
      <c r="G137" s="168">
        <v>46050</v>
      </c>
      <c r="H137" s="169">
        <v>46050</v>
      </c>
      <c r="I137" s="169" t="s">
        <v>248</v>
      </c>
      <c r="J137" s="169"/>
      <c r="K137" s="200">
        <v>190000</v>
      </c>
      <c r="L137" s="165" t="s">
        <v>218</v>
      </c>
      <c r="M137" s="171"/>
      <c r="N137" s="168">
        <v>46058</v>
      </c>
      <c r="O137" s="168" t="s">
        <v>197</v>
      </c>
      <c r="P137" s="168" t="s">
        <v>273</v>
      </c>
      <c r="Q137" s="168">
        <v>46058</v>
      </c>
      <c r="R137" s="168">
        <v>46050</v>
      </c>
      <c r="S137" s="168" t="s">
        <v>841</v>
      </c>
      <c r="T137" s="168" t="s">
        <v>842</v>
      </c>
      <c r="U137" s="168" t="s">
        <v>883</v>
      </c>
      <c r="V137" s="168" t="s">
        <v>474</v>
      </c>
      <c r="W137" s="168" t="s">
        <v>945</v>
      </c>
      <c r="X137" s="192" t="s">
        <v>590</v>
      </c>
      <c r="Y137" s="172"/>
    </row>
    <row r="138" spans="1:25" ht="16.5" x14ac:dyDescent="0.15">
      <c r="A138" s="165">
        <v>2025</v>
      </c>
      <c r="B138" s="165">
        <v>140</v>
      </c>
      <c r="C138" s="165" t="s">
        <v>249</v>
      </c>
      <c r="D138" s="165" t="s">
        <v>946</v>
      </c>
      <c r="E138" s="167" t="s">
        <v>947</v>
      </c>
      <c r="F138" s="167" t="s">
        <v>948</v>
      </c>
      <c r="G138" s="168">
        <v>46058</v>
      </c>
      <c r="H138" s="169">
        <v>46059</v>
      </c>
      <c r="I138" s="169" t="s">
        <v>248</v>
      </c>
      <c r="J138" s="169"/>
      <c r="K138" s="200">
        <v>430000</v>
      </c>
      <c r="L138" s="165" t="s">
        <v>218</v>
      </c>
      <c r="M138" s="171"/>
      <c r="N138" s="168">
        <v>46087</v>
      </c>
      <c r="O138" s="168" t="s">
        <v>199</v>
      </c>
      <c r="P138" s="168"/>
      <c r="Q138" s="168">
        <v>46087</v>
      </c>
      <c r="R138" s="168">
        <v>46059</v>
      </c>
      <c r="S138" s="168" t="s">
        <v>677</v>
      </c>
      <c r="T138" s="168" t="s">
        <v>621</v>
      </c>
      <c r="U138" s="168" t="s">
        <v>622</v>
      </c>
      <c r="V138" s="168" t="s">
        <v>778</v>
      </c>
      <c r="W138" s="168" t="s">
        <v>949</v>
      </c>
      <c r="X138" s="192"/>
      <c r="Y138" s="172"/>
    </row>
    <row r="139" spans="1:25" ht="148.5" x14ac:dyDescent="0.15">
      <c r="A139" s="114">
        <v>2025</v>
      </c>
      <c r="B139" s="114">
        <v>141</v>
      </c>
      <c r="C139" s="114" t="s">
        <v>215</v>
      </c>
      <c r="D139" s="114" t="s">
        <v>950</v>
      </c>
      <c r="E139" s="151" t="s">
        <v>951</v>
      </c>
      <c r="F139" s="151" t="s">
        <v>412</v>
      </c>
      <c r="G139" s="152">
        <v>46053</v>
      </c>
      <c r="H139" s="112">
        <v>46067</v>
      </c>
      <c r="I139" s="112" t="s">
        <v>248</v>
      </c>
      <c r="J139" s="112"/>
      <c r="K139" s="113">
        <v>170000</v>
      </c>
      <c r="L139" s="114" t="s">
        <v>218</v>
      </c>
      <c r="M139" s="183" t="s">
        <v>952</v>
      </c>
      <c r="N139" s="152"/>
      <c r="O139" s="152"/>
      <c r="P139" s="152"/>
      <c r="Q139" s="152"/>
      <c r="R139" s="152"/>
      <c r="S139" s="152"/>
      <c r="T139" s="152"/>
      <c r="U139" s="152"/>
      <c r="V139" s="152"/>
      <c r="W139" s="152"/>
      <c r="X139" s="162"/>
      <c r="Y139" s="117"/>
    </row>
    <row r="140" spans="1:25" ht="16.5" x14ac:dyDescent="0.15">
      <c r="A140" s="165">
        <v>2025</v>
      </c>
      <c r="B140" s="165">
        <v>142</v>
      </c>
      <c r="C140" s="165" t="s">
        <v>214</v>
      </c>
      <c r="D140" s="165" t="s">
        <v>953</v>
      </c>
      <c r="E140" s="167" t="s">
        <v>954</v>
      </c>
      <c r="F140" s="167" t="s">
        <v>597</v>
      </c>
      <c r="G140" s="168">
        <v>46028</v>
      </c>
      <c r="H140" s="169">
        <v>46028</v>
      </c>
      <c r="I140" s="169" t="s">
        <v>248</v>
      </c>
      <c r="J140" s="169"/>
      <c r="K140" s="200">
        <v>30000</v>
      </c>
      <c r="L140" s="165" t="s">
        <v>218</v>
      </c>
      <c r="M140" s="171"/>
      <c r="N140" s="168">
        <v>46062</v>
      </c>
      <c r="O140" s="168" t="s">
        <v>197</v>
      </c>
      <c r="P140" s="168" t="s">
        <v>273</v>
      </c>
      <c r="Q140" s="168">
        <v>46062</v>
      </c>
      <c r="R140" s="168">
        <v>46028</v>
      </c>
      <c r="S140" s="168" t="s">
        <v>841</v>
      </c>
      <c r="T140" s="168" t="s">
        <v>842</v>
      </c>
      <c r="U140" s="168" t="s">
        <v>883</v>
      </c>
      <c r="V140" s="168" t="s">
        <v>474</v>
      </c>
      <c r="W140" s="168" t="s">
        <v>955</v>
      </c>
      <c r="X140" s="192" t="s">
        <v>590</v>
      </c>
      <c r="Y140" s="117"/>
    </row>
    <row r="141" spans="1:25" ht="280.5" x14ac:dyDescent="0.15">
      <c r="A141" s="114">
        <v>2025</v>
      </c>
      <c r="B141" s="114">
        <v>143</v>
      </c>
      <c r="C141" s="114" t="s">
        <v>219</v>
      </c>
      <c r="D141" s="114" t="s">
        <v>956</v>
      </c>
      <c r="E141" s="151" t="s">
        <v>957</v>
      </c>
      <c r="F141" s="151" t="s">
        <v>958</v>
      </c>
      <c r="G141" s="152">
        <v>46097</v>
      </c>
      <c r="H141" s="112">
        <v>46326</v>
      </c>
      <c r="I141" s="112" t="s">
        <v>248</v>
      </c>
      <c r="J141" s="112">
        <v>46069</v>
      </c>
      <c r="K141" s="113">
        <v>120000000</v>
      </c>
      <c r="L141" s="114" t="s">
        <v>248</v>
      </c>
      <c r="M141" s="183" t="s">
        <v>959</v>
      </c>
      <c r="N141" s="152"/>
      <c r="O141" s="152"/>
      <c r="P141" s="152"/>
      <c r="Q141" s="152"/>
      <c r="R141" s="152"/>
      <c r="S141" s="152"/>
      <c r="T141" s="152"/>
      <c r="U141" s="152"/>
      <c r="V141" s="152"/>
      <c r="W141" s="152"/>
      <c r="X141" s="162"/>
      <c r="Y141" s="162"/>
    </row>
    <row r="142" spans="1:25" ht="16.5" x14ac:dyDescent="0.15">
      <c r="A142" s="114">
        <v>2025</v>
      </c>
      <c r="B142" s="114">
        <v>144</v>
      </c>
      <c r="C142" s="114" t="s">
        <v>209</v>
      </c>
      <c r="D142" s="114" t="s">
        <v>960</v>
      </c>
      <c r="E142" s="151" t="s">
        <v>961</v>
      </c>
      <c r="F142" s="151" t="s">
        <v>962</v>
      </c>
      <c r="G142" s="152">
        <v>46067</v>
      </c>
      <c r="H142" s="112">
        <v>46067</v>
      </c>
      <c r="I142" s="112" t="s">
        <v>248</v>
      </c>
      <c r="J142" s="112">
        <v>46063</v>
      </c>
      <c r="K142" s="113">
        <v>70000</v>
      </c>
      <c r="L142" s="114" t="s">
        <v>554</v>
      </c>
      <c r="M142" s="228"/>
      <c r="N142" s="152"/>
      <c r="O142" s="152"/>
      <c r="P142" s="152"/>
      <c r="Q142" s="152"/>
      <c r="R142" s="152"/>
      <c r="S142" s="152"/>
      <c r="T142" s="152"/>
      <c r="U142" s="152"/>
      <c r="V142" s="152"/>
      <c r="W142" s="152"/>
      <c r="X142" s="162"/>
      <c r="Y142" s="162"/>
    </row>
    <row r="143" spans="1:25" ht="16.5" x14ac:dyDescent="0.15">
      <c r="A143" s="114">
        <v>2025</v>
      </c>
      <c r="B143" s="114">
        <v>145</v>
      </c>
      <c r="C143" s="114" t="s">
        <v>209</v>
      </c>
      <c r="D143" s="114" t="s">
        <v>963</v>
      </c>
      <c r="E143" s="151" t="s">
        <v>964</v>
      </c>
      <c r="F143" s="151" t="s">
        <v>347</v>
      </c>
      <c r="G143" s="152">
        <v>46122</v>
      </c>
      <c r="H143" s="112">
        <v>46162</v>
      </c>
      <c r="I143" s="112" t="s">
        <v>248</v>
      </c>
      <c r="J143" s="112">
        <v>46069</v>
      </c>
      <c r="K143" s="113">
        <v>14900000</v>
      </c>
      <c r="L143" s="114" t="s">
        <v>554</v>
      </c>
      <c r="M143" s="228"/>
      <c r="N143" s="152"/>
      <c r="O143" s="152"/>
      <c r="P143" s="152"/>
      <c r="Q143" s="152"/>
      <c r="R143" s="152"/>
      <c r="S143" s="152"/>
      <c r="T143" s="152"/>
      <c r="U143" s="152"/>
      <c r="V143" s="152"/>
      <c r="W143" s="152"/>
      <c r="X143" s="162"/>
      <c r="Y143" s="162"/>
    </row>
    <row r="144" spans="1:25" ht="16.5" x14ac:dyDescent="0.15">
      <c r="A144" s="165">
        <v>2025</v>
      </c>
      <c r="B144" s="165">
        <v>146</v>
      </c>
      <c r="C144" s="165" t="s">
        <v>665</v>
      </c>
      <c r="D144" s="165" t="s">
        <v>965</v>
      </c>
      <c r="E144" s="167" t="s">
        <v>966</v>
      </c>
      <c r="F144" s="167" t="s">
        <v>967</v>
      </c>
      <c r="G144" s="168">
        <v>46060</v>
      </c>
      <c r="H144" s="169">
        <v>46060</v>
      </c>
      <c r="I144" s="169" t="s">
        <v>253</v>
      </c>
      <c r="J144" s="169">
        <v>46060</v>
      </c>
      <c r="K144" s="200">
        <v>150000</v>
      </c>
      <c r="L144" s="165" t="s">
        <v>218</v>
      </c>
      <c r="M144" s="229"/>
      <c r="N144" s="168">
        <v>46070</v>
      </c>
      <c r="O144" s="168" t="s">
        <v>968</v>
      </c>
      <c r="P144" s="168" t="s">
        <v>273</v>
      </c>
      <c r="Q144" s="168">
        <v>46077</v>
      </c>
      <c r="R144" s="168">
        <v>46060</v>
      </c>
      <c r="S144" s="168" t="s">
        <v>967</v>
      </c>
      <c r="T144" s="168"/>
      <c r="U144" s="168"/>
      <c r="V144" s="168" t="s">
        <v>967</v>
      </c>
      <c r="W144" s="168" t="s">
        <v>967</v>
      </c>
      <c r="X144" s="192"/>
      <c r="Y144" s="192"/>
    </row>
    <row r="145" spans="1:25" ht="16.5" x14ac:dyDescent="0.15">
      <c r="A145" s="165">
        <v>2025</v>
      </c>
      <c r="B145" s="165">
        <v>147</v>
      </c>
      <c r="C145" s="165" t="s">
        <v>214</v>
      </c>
      <c r="D145" s="165" t="s">
        <v>409</v>
      </c>
      <c r="E145" s="167" t="s">
        <v>410</v>
      </c>
      <c r="F145" s="167" t="s">
        <v>412</v>
      </c>
      <c r="G145" s="168">
        <v>46053</v>
      </c>
      <c r="H145" s="169">
        <v>46067</v>
      </c>
      <c r="I145" s="169" t="s">
        <v>248</v>
      </c>
      <c r="J145" s="169">
        <v>46003</v>
      </c>
      <c r="K145" s="200">
        <v>170000</v>
      </c>
      <c r="L145" s="165" t="s">
        <v>218</v>
      </c>
      <c r="M145" s="229" t="s">
        <v>969</v>
      </c>
      <c r="N145" s="168">
        <v>46071</v>
      </c>
      <c r="O145" s="168" t="s">
        <v>197</v>
      </c>
      <c r="P145" s="168"/>
      <c r="Q145" s="168"/>
      <c r="R145" s="168"/>
      <c r="S145" s="168" t="s">
        <v>412</v>
      </c>
      <c r="T145" s="168" t="s">
        <v>413</v>
      </c>
      <c r="U145" s="168" t="s">
        <v>414</v>
      </c>
      <c r="V145" s="168" t="s">
        <v>970</v>
      </c>
      <c r="W145" s="168" t="s">
        <v>411</v>
      </c>
      <c r="X145" s="192" t="s">
        <v>415</v>
      </c>
      <c r="Y145" s="192"/>
    </row>
    <row r="146" spans="1:25" ht="16.5" x14ac:dyDescent="0.15">
      <c r="A146" s="261">
        <v>2025</v>
      </c>
      <c r="B146" s="261">
        <v>148</v>
      </c>
      <c r="C146" s="261" t="s">
        <v>375</v>
      </c>
      <c r="D146" s="261" t="s">
        <v>971</v>
      </c>
      <c r="E146" s="262" t="s">
        <v>972</v>
      </c>
      <c r="F146" s="262" t="s">
        <v>973</v>
      </c>
      <c r="G146" s="263">
        <v>45992</v>
      </c>
      <c r="H146" s="264">
        <v>46112</v>
      </c>
      <c r="I146" s="264" t="s">
        <v>218</v>
      </c>
      <c r="J146" s="264"/>
      <c r="K146" s="267">
        <v>200000</v>
      </c>
      <c r="L146" s="261" t="s">
        <v>253</v>
      </c>
      <c r="M146" s="276"/>
      <c r="N146" s="263">
        <v>46074</v>
      </c>
      <c r="O146" s="263" t="s">
        <v>197</v>
      </c>
      <c r="P146" s="263" t="s">
        <v>273</v>
      </c>
      <c r="Q146" s="263">
        <v>46073</v>
      </c>
      <c r="R146" s="263">
        <v>46057</v>
      </c>
      <c r="S146" s="263" t="s">
        <v>974</v>
      </c>
      <c r="T146" s="263" t="s">
        <v>975</v>
      </c>
      <c r="U146" s="263" t="s">
        <v>976</v>
      </c>
      <c r="V146" s="263" t="s">
        <v>977</v>
      </c>
      <c r="W146" s="263" t="s">
        <v>978</v>
      </c>
      <c r="X146" s="266"/>
      <c r="Y146" s="266"/>
    </row>
    <row r="147" spans="1:25" ht="16.5" x14ac:dyDescent="0.15">
      <c r="A147" s="165">
        <v>2025</v>
      </c>
      <c r="B147" s="165">
        <v>149</v>
      </c>
      <c r="C147" s="165" t="s">
        <v>214</v>
      </c>
      <c r="D147" s="165" t="s">
        <v>979</v>
      </c>
      <c r="E147" s="167" t="s">
        <v>980</v>
      </c>
      <c r="F147" s="167" t="s">
        <v>677</v>
      </c>
      <c r="G147" s="168">
        <v>46077</v>
      </c>
      <c r="H147" s="169">
        <v>46077</v>
      </c>
      <c r="I147" s="169" t="s">
        <v>248</v>
      </c>
      <c r="J147" s="169">
        <v>46077</v>
      </c>
      <c r="K147" s="200">
        <v>33000</v>
      </c>
      <c r="L147" s="165" t="s">
        <v>218</v>
      </c>
      <c r="M147" s="229"/>
      <c r="N147" s="168">
        <v>46078</v>
      </c>
      <c r="O147" s="168" t="s">
        <v>197</v>
      </c>
      <c r="P147" s="168" t="s">
        <v>273</v>
      </c>
      <c r="Q147" s="168">
        <v>46078</v>
      </c>
      <c r="R147" s="168">
        <v>46077</v>
      </c>
      <c r="S147" s="168" t="s">
        <v>677</v>
      </c>
      <c r="T147" s="168" t="s">
        <v>621</v>
      </c>
      <c r="U147" s="168" t="s">
        <v>622</v>
      </c>
      <c r="V147" s="168" t="s">
        <v>778</v>
      </c>
      <c r="W147" s="168" t="s">
        <v>624</v>
      </c>
      <c r="X147" s="192" t="s">
        <v>590</v>
      </c>
      <c r="Y147" s="192"/>
    </row>
    <row r="148" spans="1:25" ht="33" x14ac:dyDescent="0.15">
      <c r="A148" s="114">
        <v>2025</v>
      </c>
      <c r="B148" s="114">
        <v>150</v>
      </c>
      <c r="C148" s="114" t="s">
        <v>572</v>
      </c>
      <c r="D148" s="114" t="s">
        <v>981</v>
      </c>
      <c r="E148" s="151" t="s">
        <v>982</v>
      </c>
      <c r="F148" s="151" t="s">
        <v>831</v>
      </c>
      <c r="G148" s="152">
        <v>46084</v>
      </c>
      <c r="H148" s="112">
        <v>46101</v>
      </c>
      <c r="I148" s="112"/>
      <c r="J148" s="112"/>
      <c r="K148" s="113">
        <v>2100000</v>
      </c>
      <c r="L148" s="114" t="s">
        <v>218</v>
      </c>
      <c r="M148" s="161" t="s">
        <v>348</v>
      </c>
      <c r="N148" s="152"/>
      <c r="O148" s="152"/>
      <c r="P148" s="152"/>
      <c r="Q148" s="152"/>
      <c r="R148" s="152"/>
      <c r="S148" s="152"/>
      <c r="T148" s="152"/>
      <c r="U148" s="152"/>
      <c r="V148" s="152"/>
      <c r="W148" s="152"/>
      <c r="X148" s="162"/>
      <c r="Y148" s="162"/>
    </row>
    <row r="149" spans="1:25" ht="16.5" x14ac:dyDescent="0.15">
      <c r="A149" s="165">
        <v>2025</v>
      </c>
      <c r="B149" s="165">
        <v>151</v>
      </c>
      <c r="C149" s="165" t="s">
        <v>214</v>
      </c>
      <c r="D149" s="165" t="s">
        <v>983</v>
      </c>
      <c r="E149" s="167" t="s">
        <v>984</v>
      </c>
      <c r="F149" s="167" t="s">
        <v>597</v>
      </c>
      <c r="G149" s="168">
        <v>46073</v>
      </c>
      <c r="H149" s="169">
        <v>46081</v>
      </c>
      <c r="I149" s="169" t="s">
        <v>248</v>
      </c>
      <c r="J149" s="169"/>
      <c r="K149" s="200">
        <v>61000</v>
      </c>
      <c r="L149" s="165" t="s">
        <v>218</v>
      </c>
      <c r="M149" s="229" t="s">
        <v>590</v>
      </c>
      <c r="N149" s="168">
        <v>46085</v>
      </c>
      <c r="O149" s="168" t="s">
        <v>197</v>
      </c>
      <c r="P149" s="168" t="s">
        <v>273</v>
      </c>
      <c r="Q149" s="168"/>
      <c r="R149" s="168"/>
      <c r="S149" s="168" t="s">
        <v>841</v>
      </c>
      <c r="T149" s="168" t="s">
        <v>842</v>
      </c>
      <c r="U149" s="168" t="s">
        <v>883</v>
      </c>
      <c r="V149" s="168" t="s">
        <v>474</v>
      </c>
      <c r="W149" s="168" t="s">
        <v>955</v>
      </c>
      <c r="X149" s="192" t="s">
        <v>590</v>
      </c>
      <c r="Y149" s="192"/>
    </row>
    <row r="150" spans="1:25" ht="165" x14ac:dyDescent="0.15">
      <c r="A150" s="114">
        <v>2025</v>
      </c>
      <c r="B150" s="114">
        <v>152</v>
      </c>
      <c r="C150" s="114" t="s">
        <v>219</v>
      </c>
      <c r="D150" s="114" t="s">
        <v>985</v>
      </c>
      <c r="E150" s="151" t="s">
        <v>986</v>
      </c>
      <c r="F150" s="151" t="s">
        <v>987</v>
      </c>
      <c r="G150" s="152">
        <v>46296</v>
      </c>
      <c r="H150" s="112">
        <v>46660</v>
      </c>
      <c r="I150" s="112" t="s">
        <v>248</v>
      </c>
      <c r="J150" s="112"/>
      <c r="K150" s="113">
        <v>276000000</v>
      </c>
      <c r="L150" s="114" t="s">
        <v>248</v>
      </c>
      <c r="M150" s="230" t="s">
        <v>988</v>
      </c>
      <c r="N150" s="152"/>
      <c r="O150" s="152"/>
      <c r="P150" s="152"/>
      <c r="Q150" s="152"/>
      <c r="R150" s="152"/>
      <c r="S150" s="152"/>
      <c r="T150" s="152"/>
      <c r="U150" s="152"/>
      <c r="V150" s="152"/>
      <c r="W150" s="152"/>
      <c r="X150" s="162"/>
      <c r="Y150" s="162"/>
    </row>
    <row r="151" spans="1:25" ht="16.5" x14ac:dyDescent="0.15">
      <c r="A151" s="114">
        <v>2025</v>
      </c>
      <c r="B151" s="114">
        <v>153</v>
      </c>
      <c r="C151" s="114" t="s">
        <v>572</v>
      </c>
      <c r="D151" s="114" t="s">
        <v>989</v>
      </c>
      <c r="E151" s="151" t="s">
        <v>990</v>
      </c>
      <c r="F151" s="151" t="s">
        <v>831</v>
      </c>
      <c r="G151" s="152">
        <v>46090</v>
      </c>
      <c r="H151" s="112">
        <v>46092</v>
      </c>
      <c r="I151" s="112" t="s">
        <v>248</v>
      </c>
      <c r="J151" s="112"/>
      <c r="K151" s="113">
        <v>95000</v>
      </c>
      <c r="L151" s="114" t="s">
        <v>218</v>
      </c>
      <c r="M151" s="228"/>
      <c r="N151" s="152"/>
      <c r="O151" s="152"/>
      <c r="P151" s="152"/>
      <c r="Q151" s="152"/>
      <c r="R151" s="152"/>
      <c r="S151" s="152"/>
      <c r="T151" s="152"/>
      <c r="U151" s="152"/>
      <c r="V151" s="152"/>
      <c r="W151" s="152"/>
      <c r="X151" s="162"/>
      <c r="Y151" s="162"/>
    </row>
    <row r="152" spans="1:25" ht="16.5" x14ac:dyDescent="0.15">
      <c r="A152" s="114">
        <v>2025</v>
      </c>
      <c r="B152" s="114">
        <v>155</v>
      </c>
      <c r="C152" s="114" t="s">
        <v>847</v>
      </c>
      <c r="D152" s="114" t="s">
        <v>991</v>
      </c>
      <c r="E152" s="151" t="s">
        <v>992</v>
      </c>
      <c r="F152" s="151" t="s">
        <v>993</v>
      </c>
      <c r="G152" s="152"/>
      <c r="H152" s="112"/>
      <c r="I152" s="112" t="s">
        <v>248</v>
      </c>
      <c r="J152" s="112">
        <v>46093</v>
      </c>
      <c r="K152" s="113">
        <v>2000000</v>
      </c>
      <c r="L152" s="114" t="s">
        <v>218</v>
      </c>
      <c r="M152" s="228" t="s">
        <v>994</v>
      </c>
      <c r="N152" s="152"/>
      <c r="O152" s="152"/>
      <c r="P152" s="152"/>
      <c r="Q152" s="152"/>
      <c r="R152" s="152"/>
      <c r="S152" s="152"/>
      <c r="T152" s="152"/>
      <c r="U152" s="152"/>
      <c r="V152" s="152"/>
      <c r="W152" s="152"/>
      <c r="X152" s="162"/>
      <c r="Y152" s="162"/>
    </row>
    <row r="153" spans="1:25" ht="16.5" x14ac:dyDescent="0.15">
      <c r="A153" s="165">
        <v>2025</v>
      </c>
      <c r="B153" s="165">
        <v>156</v>
      </c>
      <c r="C153" s="165" t="s">
        <v>375</v>
      </c>
      <c r="D153" s="165" t="s">
        <v>995</v>
      </c>
      <c r="E153" s="167" t="s">
        <v>996</v>
      </c>
      <c r="F153" s="167" t="s">
        <v>819</v>
      </c>
      <c r="G153" s="168">
        <v>46104</v>
      </c>
      <c r="H153" s="169">
        <v>46173</v>
      </c>
      <c r="I153" s="169"/>
      <c r="J153" s="169"/>
      <c r="K153" s="200">
        <v>12500000</v>
      </c>
      <c r="L153" s="165" t="s">
        <v>248</v>
      </c>
      <c r="M153" s="229"/>
      <c r="N153" s="168">
        <v>46143</v>
      </c>
      <c r="O153" s="168" t="s">
        <v>197</v>
      </c>
      <c r="P153" s="168"/>
      <c r="Q153" s="168">
        <v>46143</v>
      </c>
      <c r="R153" s="168">
        <v>46135</v>
      </c>
      <c r="S153" s="168" t="s">
        <v>326</v>
      </c>
      <c r="T153" s="168" t="s">
        <v>324</v>
      </c>
      <c r="U153" s="168" t="s">
        <v>997</v>
      </c>
      <c r="V153" s="168" t="s">
        <v>325</v>
      </c>
      <c r="W153" s="168" t="s">
        <v>998</v>
      </c>
      <c r="X153" s="192" t="s">
        <v>999</v>
      </c>
      <c r="Y153" s="192"/>
    </row>
    <row r="154" spans="1:25" ht="16.5" x14ac:dyDescent="0.15">
      <c r="A154" s="114">
        <v>2025</v>
      </c>
      <c r="B154" s="114">
        <v>157</v>
      </c>
      <c r="C154" s="114" t="s">
        <v>213</v>
      </c>
      <c r="D154" s="114" t="s">
        <v>1000</v>
      </c>
      <c r="E154" s="151" t="s">
        <v>1001</v>
      </c>
      <c r="F154" s="151" t="s">
        <v>819</v>
      </c>
      <c r="G154" s="152">
        <v>46153</v>
      </c>
      <c r="H154" s="112">
        <v>46265</v>
      </c>
      <c r="I154" s="112"/>
      <c r="J154" s="112"/>
      <c r="K154" s="113"/>
      <c r="L154" s="114" t="s">
        <v>248</v>
      </c>
      <c r="M154" s="228"/>
      <c r="N154" s="152"/>
      <c r="O154" s="152"/>
      <c r="P154" s="152"/>
      <c r="Q154" s="152"/>
      <c r="R154" s="152"/>
      <c r="S154" s="152"/>
      <c r="T154" s="152"/>
      <c r="U154" s="152"/>
      <c r="V154" s="152"/>
      <c r="W154" s="152"/>
      <c r="X154" s="162"/>
      <c r="Y154" s="162"/>
    </row>
    <row r="155" spans="1:25" ht="16.5" x14ac:dyDescent="0.15">
      <c r="A155" s="165">
        <v>2025</v>
      </c>
      <c r="B155" s="165">
        <v>159</v>
      </c>
      <c r="C155" s="165" t="s">
        <v>214</v>
      </c>
      <c r="D155" s="165" t="s">
        <v>1002</v>
      </c>
      <c r="E155" s="167" t="s">
        <v>1003</v>
      </c>
      <c r="F155" s="167" t="s">
        <v>1004</v>
      </c>
      <c r="G155" s="168">
        <v>46099</v>
      </c>
      <c r="H155" s="169">
        <v>46099</v>
      </c>
      <c r="I155" s="169" t="s">
        <v>248</v>
      </c>
      <c r="J155" s="169">
        <v>46099</v>
      </c>
      <c r="K155" s="200">
        <v>80000</v>
      </c>
      <c r="L155" s="165" t="s">
        <v>218</v>
      </c>
      <c r="M155" s="229"/>
      <c r="N155" s="168">
        <v>46101</v>
      </c>
      <c r="O155" s="168" t="s">
        <v>199</v>
      </c>
      <c r="P155" s="168" t="s">
        <v>528</v>
      </c>
      <c r="Q155" s="168">
        <v>46101</v>
      </c>
      <c r="R155" s="168">
        <v>46099</v>
      </c>
      <c r="S155" s="168" t="s">
        <v>1004</v>
      </c>
      <c r="T155" s="168" t="s">
        <v>1005</v>
      </c>
      <c r="U155" s="168" t="s">
        <v>1006</v>
      </c>
      <c r="V155" s="168" t="s">
        <v>474</v>
      </c>
      <c r="W155" s="168" t="s">
        <v>1007</v>
      </c>
      <c r="X155" s="192" t="s">
        <v>1008</v>
      </c>
      <c r="Y155" s="192"/>
    </row>
    <row r="156" spans="1:25" ht="16.5" x14ac:dyDescent="0.15">
      <c r="A156" s="165">
        <v>2025</v>
      </c>
      <c r="B156" s="165">
        <v>160</v>
      </c>
      <c r="C156" s="165" t="s">
        <v>214</v>
      </c>
      <c r="D156" s="165" t="s">
        <v>1009</v>
      </c>
      <c r="E156" s="167" t="s">
        <v>1010</v>
      </c>
      <c r="F156" s="167" t="s">
        <v>1011</v>
      </c>
      <c r="G156" s="168">
        <v>46102</v>
      </c>
      <c r="H156" s="169">
        <v>46102</v>
      </c>
      <c r="I156" s="169" t="s">
        <v>352</v>
      </c>
      <c r="J156" s="169">
        <v>46097</v>
      </c>
      <c r="K156" s="200">
        <v>100000</v>
      </c>
      <c r="L156" s="165" t="s">
        <v>218</v>
      </c>
      <c r="M156" s="229"/>
      <c r="N156" s="168">
        <v>46101</v>
      </c>
      <c r="O156" s="168" t="s">
        <v>199</v>
      </c>
      <c r="P156" s="168" t="s">
        <v>590</v>
      </c>
      <c r="Q156" s="168">
        <v>46101</v>
      </c>
      <c r="R156" s="168">
        <v>46102</v>
      </c>
      <c r="S156" s="168" t="s">
        <v>1012</v>
      </c>
      <c r="T156" s="168" t="s">
        <v>1013</v>
      </c>
      <c r="U156" s="168" t="s">
        <v>1014</v>
      </c>
      <c r="V156" s="168" t="s">
        <v>474</v>
      </c>
      <c r="W156" s="168" t="s">
        <v>814</v>
      </c>
      <c r="X156" s="192" t="s">
        <v>1015</v>
      </c>
      <c r="Y156" s="192"/>
    </row>
    <row r="157" spans="1:25" ht="16.5" x14ac:dyDescent="0.15">
      <c r="A157" s="114">
        <v>2025</v>
      </c>
      <c r="B157" s="114">
        <v>161</v>
      </c>
      <c r="C157" s="114" t="s">
        <v>219</v>
      </c>
      <c r="D157" s="114" t="s">
        <v>1016</v>
      </c>
      <c r="E157" s="151" t="s">
        <v>1017</v>
      </c>
      <c r="F157" s="151" t="s">
        <v>1018</v>
      </c>
      <c r="G157" s="152">
        <v>46127</v>
      </c>
      <c r="H157" s="112">
        <v>46460</v>
      </c>
      <c r="I157" s="112" t="s">
        <v>352</v>
      </c>
      <c r="J157" s="112" t="s">
        <v>1019</v>
      </c>
      <c r="K157" s="113">
        <v>17300000</v>
      </c>
      <c r="L157" s="114" t="s">
        <v>248</v>
      </c>
      <c r="M157" s="228"/>
      <c r="N157" s="152"/>
      <c r="O157" s="152"/>
      <c r="P157" s="152"/>
      <c r="Q157" s="152"/>
      <c r="R157" s="152"/>
      <c r="S157" s="152"/>
      <c r="T157" s="152"/>
      <c r="U157" s="152"/>
      <c r="V157" s="152"/>
      <c r="W157" s="152"/>
      <c r="X157" s="162"/>
      <c r="Y157" s="162"/>
    </row>
    <row r="158" spans="1:25" ht="16.5" x14ac:dyDescent="0.15">
      <c r="A158" s="165">
        <v>2025</v>
      </c>
      <c r="B158" s="165">
        <v>162</v>
      </c>
      <c r="C158" s="165" t="s">
        <v>211</v>
      </c>
      <c r="D158" s="165" t="s">
        <v>1020</v>
      </c>
      <c r="E158" s="167" t="s">
        <v>1021</v>
      </c>
      <c r="F158" s="167" t="s">
        <v>354</v>
      </c>
      <c r="G158" s="168">
        <v>46093</v>
      </c>
      <c r="H158" s="169">
        <v>46093</v>
      </c>
      <c r="I158" s="169" t="s">
        <v>218</v>
      </c>
      <c r="J158" s="169"/>
      <c r="K158" s="200">
        <v>156000</v>
      </c>
      <c r="L158" s="165" t="s">
        <v>218</v>
      </c>
      <c r="M158" s="229"/>
      <c r="N158" s="168">
        <v>46115</v>
      </c>
      <c r="O158" s="168" t="s">
        <v>197</v>
      </c>
      <c r="P158" s="168"/>
      <c r="Q158" s="168">
        <v>46115</v>
      </c>
      <c r="R158" s="168">
        <v>46100</v>
      </c>
      <c r="S158" s="168" t="s">
        <v>354</v>
      </c>
      <c r="T158" s="168" t="s">
        <v>355</v>
      </c>
      <c r="U158" s="168" t="s">
        <v>356</v>
      </c>
      <c r="V158" s="168" t="s">
        <v>357</v>
      </c>
      <c r="W158" s="168" t="s">
        <v>354</v>
      </c>
      <c r="X158" s="192"/>
      <c r="Y158" s="192"/>
    </row>
    <row r="159" spans="1:25" ht="16.5" x14ac:dyDescent="0.15">
      <c r="A159" s="165">
        <v>2025</v>
      </c>
      <c r="B159" s="165">
        <v>163</v>
      </c>
      <c r="C159" s="165" t="s">
        <v>211</v>
      </c>
      <c r="D159" s="165" t="s">
        <v>1022</v>
      </c>
      <c r="E159" s="167" t="s">
        <v>1023</v>
      </c>
      <c r="F159" s="167" t="s">
        <v>354</v>
      </c>
      <c r="G159" s="168">
        <v>46106</v>
      </c>
      <c r="H159" s="169">
        <v>46122</v>
      </c>
      <c r="I159" s="169" t="s">
        <v>218</v>
      </c>
      <c r="J159" s="169">
        <v>46101</v>
      </c>
      <c r="K159" s="200">
        <v>950000</v>
      </c>
      <c r="L159" s="165" t="s">
        <v>218</v>
      </c>
      <c r="M159" s="229"/>
      <c r="N159" s="168">
        <v>46122</v>
      </c>
      <c r="O159" s="168" t="s">
        <v>197</v>
      </c>
      <c r="P159" s="168"/>
      <c r="Q159" s="168">
        <v>46125</v>
      </c>
      <c r="R159" s="168">
        <v>46122</v>
      </c>
      <c r="S159" s="168" t="s">
        <v>354</v>
      </c>
      <c r="T159" s="168" t="s">
        <v>355</v>
      </c>
      <c r="U159" s="168" t="s">
        <v>356</v>
      </c>
      <c r="V159" s="168" t="s">
        <v>357</v>
      </c>
      <c r="W159" s="168" t="s">
        <v>354</v>
      </c>
      <c r="X159" s="192"/>
      <c r="Y159" s="192"/>
    </row>
    <row r="160" spans="1:25" ht="16.5" x14ac:dyDescent="0.15">
      <c r="A160" s="165">
        <v>2025</v>
      </c>
      <c r="B160" s="165">
        <v>164</v>
      </c>
      <c r="C160" s="165" t="s">
        <v>211</v>
      </c>
      <c r="D160" s="165" t="s">
        <v>1024</v>
      </c>
      <c r="E160" s="167" t="s">
        <v>1025</v>
      </c>
      <c r="F160" s="167" t="s">
        <v>354</v>
      </c>
      <c r="G160" s="168">
        <v>46105</v>
      </c>
      <c r="H160" s="169">
        <v>46105</v>
      </c>
      <c r="I160" s="169"/>
      <c r="J160" s="169">
        <v>46105</v>
      </c>
      <c r="K160" s="200">
        <v>25000</v>
      </c>
      <c r="L160" s="165" t="s">
        <v>218</v>
      </c>
      <c r="M160" s="229"/>
      <c r="N160" s="168">
        <v>46122</v>
      </c>
      <c r="O160" s="168" t="s">
        <v>197</v>
      </c>
      <c r="P160" s="168"/>
      <c r="Q160" s="168">
        <v>46122</v>
      </c>
      <c r="R160" s="168"/>
      <c r="S160" s="168" t="s">
        <v>354</v>
      </c>
      <c r="T160" s="168" t="s">
        <v>355</v>
      </c>
      <c r="U160" s="168" t="s">
        <v>356</v>
      </c>
      <c r="V160" s="168" t="s">
        <v>357</v>
      </c>
      <c r="W160" s="168" t="s">
        <v>354</v>
      </c>
      <c r="X160" s="192"/>
      <c r="Y160" s="192"/>
    </row>
    <row r="161" spans="1:25" ht="16.5" x14ac:dyDescent="0.15">
      <c r="A161" s="165">
        <v>2025</v>
      </c>
      <c r="B161" s="165">
        <v>165</v>
      </c>
      <c r="C161" s="165" t="s">
        <v>214</v>
      </c>
      <c r="D161" s="165" t="s">
        <v>1026</v>
      </c>
      <c r="E161" s="167" t="s">
        <v>1027</v>
      </c>
      <c r="F161" s="167" t="s">
        <v>841</v>
      </c>
      <c r="G161" s="168">
        <v>46087</v>
      </c>
      <c r="H161" s="169">
        <v>46105</v>
      </c>
      <c r="I161" s="169" t="s">
        <v>248</v>
      </c>
      <c r="J161" s="169">
        <v>46083</v>
      </c>
      <c r="K161" s="200">
        <v>350000</v>
      </c>
      <c r="L161" s="165" t="s">
        <v>218</v>
      </c>
      <c r="M161" s="229" t="s">
        <v>590</v>
      </c>
      <c r="N161" s="168">
        <v>46112</v>
      </c>
      <c r="O161" s="168" t="s">
        <v>197</v>
      </c>
      <c r="P161" s="168" t="s">
        <v>590</v>
      </c>
      <c r="Q161" s="168">
        <v>46112</v>
      </c>
      <c r="R161" s="168">
        <v>46105</v>
      </c>
      <c r="S161" s="168" t="s">
        <v>944</v>
      </c>
      <c r="T161" s="168" t="s">
        <v>842</v>
      </c>
      <c r="U161" s="168" t="s">
        <v>1028</v>
      </c>
      <c r="V161" s="168" t="s">
        <v>474</v>
      </c>
      <c r="W161" s="168" t="s">
        <v>1029</v>
      </c>
      <c r="X161" s="192" t="s">
        <v>590</v>
      </c>
      <c r="Y161" s="192"/>
    </row>
    <row r="162" spans="1:25" ht="16.5" x14ac:dyDescent="0.15">
      <c r="A162" s="165">
        <v>2025</v>
      </c>
      <c r="B162" s="165">
        <v>166</v>
      </c>
      <c r="C162" s="165" t="s">
        <v>211</v>
      </c>
      <c r="D162" s="165" t="s">
        <v>1030</v>
      </c>
      <c r="E162" s="167" t="s">
        <v>1031</v>
      </c>
      <c r="F162" s="167" t="s">
        <v>1032</v>
      </c>
      <c r="G162" s="168">
        <v>46098</v>
      </c>
      <c r="H162" s="169">
        <v>46098</v>
      </c>
      <c r="I162" s="169" t="s">
        <v>248</v>
      </c>
      <c r="J162" s="169">
        <v>46094</v>
      </c>
      <c r="K162" s="200">
        <v>25000</v>
      </c>
      <c r="L162" s="165" t="s">
        <v>218</v>
      </c>
      <c r="M162" s="229"/>
      <c r="N162" s="168">
        <v>46115</v>
      </c>
      <c r="O162" s="168" t="s">
        <v>197</v>
      </c>
      <c r="P162" s="168"/>
      <c r="Q162" s="168">
        <v>46115</v>
      </c>
      <c r="R162" s="168">
        <v>46115</v>
      </c>
      <c r="S162" s="168" t="s">
        <v>232</v>
      </c>
      <c r="T162" s="168" t="s">
        <v>233</v>
      </c>
      <c r="U162" s="168" t="s">
        <v>234</v>
      </c>
      <c r="V162" s="168" t="s">
        <v>235</v>
      </c>
      <c r="W162" s="168" t="s">
        <v>232</v>
      </c>
      <c r="X162" s="192" t="s">
        <v>1033</v>
      </c>
      <c r="Y162" s="192"/>
    </row>
    <row r="163" spans="1:25" ht="16.5" x14ac:dyDescent="0.15">
      <c r="A163" s="114">
        <v>2025</v>
      </c>
      <c r="B163" s="114">
        <v>167</v>
      </c>
      <c r="C163" s="114" t="s">
        <v>892</v>
      </c>
      <c r="D163" s="114" t="s">
        <v>1034</v>
      </c>
      <c r="E163" s="151" t="s">
        <v>1035</v>
      </c>
      <c r="F163" s="151" t="s">
        <v>1036</v>
      </c>
      <c r="G163" s="152"/>
      <c r="H163" s="112"/>
      <c r="I163" s="112"/>
      <c r="J163" s="112"/>
      <c r="K163" s="113"/>
      <c r="L163" s="114" t="s">
        <v>248</v>
      </c>
      <c r="M163" s="228"/>
      <c r="N163" s="152"/>
      <c r="O163" s="152"/>
      <c r="P163" s="152"/>
      <c r="Q163" s="152"/>
      <c r="R163" s="152"/>
      <c r="S163" s="152"/>
      <c r="T163" s="152"/>
      <c r="U163" s="152"/>
      <c r="V163" s="152"/>
      <c r="W163" s="152"/>
      <c r="X163" s="162"/>
      <c r="Y163" s="162"/>
    </row>
    <row r="164" spans="1:25" ht="33" x14ac:dyDescent="0.15">
      <c r="A164" s="114">
        <v>2025</v>
      </c>
      <c r="B164" s="114">
        <v>168</v>
      </c>
      <c r="C164" s="114" t="s">
        <v>209</v>
      </c>
      <c r="D164" s="114" t="s">
        <v>1037</v>
      </c>
      <c r="E164" s="151" t="s">
        <v>1038</v>
      </c>
      <c r="F164" s="151" t="s">
        <v>354</v>
      </c>
      <c r="G164" s="152">
        <v>46139</v>
      </c>
      <c r="H164" s="112">
        <v>46157</v>
      </c>
      <c r="I164" s="112" t="s">
        <v>218</v>
      </c>
      <c r="J164" s="112">
        <v>46136</v>
      </c>
      <c r="K164" s="113">
        <v>123000</v>
      </c>
      <c r="L164" s="114" t="s">
        <v>218</v>
      </c>
      <c r="M164" s="161" t="s">
        <v>348</v>
      </c>
      <c r="N164" s="152"/>
      <c r="O164" s="152"/>
      <c r="P164" s="152"/>
      <c r="Q164" s="152"/>
      <c r="R164" s="152"/>
      <c r="S164" s="152"/>
      <c r="T164" s="152"/>
      <c r="U164" s="152"/>
      <c r="V164" s="152"/>
      <c r="W164" s="152"/>
      <c r="X164" s="162"/>
      <c r="Y164" s="162"/>
    </row>
    <row r="165" spans="1:25" ht="16.5" x14ac:dyDescent="0.15">
      <c r="A165" s="231">
        <v>2026</v>
      </c>
      <c r="B165" s="114">
        <v>169</v>
      </c>
      <c r="C165" s="114" t="s">
        <v>847</v>
      </c>
      <c r="D165" s="114" t="s">
        <v>1039</v>
      </c>
      <c r="E165" s="151" t="s">
        <v>1040</v>
      </c>
      <c r="F165" s="151" t="s">
        <v>1041</v>
      </c>
      <c r="G165" s="152">
        <v>45839</v>
      </c>
      <c r="H165" s="112">
        <v>46258</v>
      </c>
      <c r="I165" s="112" t="s">
        <v>248</v>
      </c>
      <c r="J165" s="112">
        <v>45834</v>
      </c>
      <c r="K165" s="113">
        <v>128210000</v>
      </c>
      <c r="L165" s="114" t="s">
        <v>248</v>
      </c>
      <c r="M165" s="228"/>
      <c r="N165" s="152"/>
      <c r="O165" s="152"/>
      <c r="P165" s="152"/>
      <c r="Q165" s="152"/>
      <c r="R165" s="152"/>
      <c r="S165" s="152"/>
      <c r="T165" s="152"/>
      <c r="U165" s="152"/>
      <c r="V165" s="152"/>
      <c r="W165" s="152"/>
      <c r="X165" s="162"/>
      <c r="Y165" s="162"/>
    </row>
    <row r="166" spans="1:25" ht="16.5" x14ac:dyDescent="0.15">
      <c r="A166" s="165">
        <v>2025</v>
      </c>
      <c r="B166" s="165">
        <v>170</v>
      </c>
      <c r="C166" s="165" t="s">
        <v>665</v>
      </c>
      <c r="D166" s="165" t="s">
        <v>1042</v>
      </c>
      <c r="E166" s="167" t="s">
        <v>1043</v>
      </c>
      <c r="F166" s="167" t="s">
        <v>1044</v>
      </c>
      <c r="G166" s="168">
        <v>46151</v>
      </c>
      <c r="H166" s="169">
        <v>46152</v>
      </c>
      <c r="I166" s="169" t="s">
        <v>352</v>
      </c>
      <c r="J166" s="169">
        <v>46132</v>
      </c>
      <c r="K166" s="200">
        <v>350000</v>
      </c>
      <c r="L166" s="165" t="s">
        <v>253</v>
      </c>
      <c r="M166" s="229"/>
      <c r="N166" s="168">
        <v>46158</v>
      </c>
      <c r="O166" s="168" t="s">
        <v>197</v>
      </c>
      <c r="P166" s="168"/>
      <c r="Q166" s="168">
        <v>46172</v>
      </c>
      <c r="R166" s="168">
        <v>46152</v>
      </c>
      <c r="S166" s="168" t="s">
        <v>1112</v>
      </c>
      <c r="T166" s="168" t="s">
        <v>1113</v>
      </c>
      <c r="U166" s="168" t="s">
        <v>1114</v>
      </c>
      <c r="V166" s="168" t="s">
        <v>1115</v>
      </c>
      <c r="W166" s="168" t="s">
        <v>1116</v>
      </c>
      <c r="X166" s="192" t="s">
        <v>1117</v>
      </c>
      <c r="Y166" s="192"/>
    </row>
    <row r="167" spans="1:25" ht="16.5" x14ac:dyDescent="0.15">
      <c r="A167" s="165">
        <v>2025</v>
      </c>
      <c r="B167" s="165">
        <v>171</v>
      </c>
      <c r="C167" s="165" t="s">
        <v>214</v>
      </c>
      <c r="D167" s="165" t="s">
        <v>1045</v>
      </c>
      <c r="E167" s="167" t="s">
        <v>1046</v>
      </c>
      <c r="F167" s="167" t="s">
        <v>887</v>
      </c>
      <c r="G167" s="168">
        <v>46129</v>
      </c>
      <c r="H167" s="169">
        <v>46129</v>
      </c>
      <c r="I167" s="169" t="s">
        <v>248</v>
      </c>
      <c r="J167" s="169">
        <v>46119</v>
      </c>
      <c r="K167" s="200">
        <v>120000</v>
      </c>
      <c r="L167" s="165" t="s">
        <v>218</v>
      </c>
      <c r="M167" s="229" t="s">
        <v>590</v>
      </c>
      <c r="N167" s="168">
        <v>46141</v>
      </c>
      <c r="O167" s="168" t="s">
        <v>197</v>
      </c>
      <c r="P167" s="168" t="s">
        <v>590</v>
      </c>
      <c r="Q167" s="168">
        <v>46141</v>
      </c>
      <c r="R167" s="168">
        <v>46129</v>
      </c>
      <c r="S167" s="168" t="s">
        <v>856</v>
      </c>
      <c r="T167" s="168" t="s">
        <v>621</v>
      </c>
      <c r="U167" s="168" t="s">
        <v>857</v>
      </c>
      <c r="V167" s="168" t="s">
        <v>474</v>
      </c>
      <c r="W167" s="168" t="s">
        <v>858</v>
      </c>
      <c r="X167" s="192" t="s">
        <v>590</v>
      </c>
      <c r="Y167" s="192"/>
    </row>
    <row r="168" spans="1:25" ht="16.5" x14ac:dyDescent="0.15">
      <c r="A168" s="114">
        <v>2025</v>
      </c>
      <c r="B168" s="114">
        <v>172</v>
      </c>
      <c r="C168" s="114" t="s">
        <v>209</v>
      </c>
      <c r="D168" s="114" t="s">
        <v>1047</v>
      </c>
      <c r="E168" s="151" t="s">
        <v>1048</v>
      </c>
      <c r="F168" s="151" t="s">
        <v>1049</v>
      </c>
      <c r="G168" s="152">
        <v>46141</v>
      </c>
      <c r="H168" s="112">
        <v>46160</v>
      </c>
      <c r="I168" s="112" t="s">
        <v>248</v>
      </c>
      <c r="J168" s="112">
        <v>46140</v>
      </c>
      <c r="K168" s="113">
        <v>50000</v>
      </c>
      <c r="L168" s="114" t="s">
        <v>218</v>
      </c>
      <c r="M168" s="228" t="s">
        <v>1050</v>
      </c>
      <c r="N168" s="152"/>
      <c r="O168" s="152"/>
      <c r="P168" s="152"/>
      <c r="Q168" s="152"/>
      <c r="R168" s="152"/>
      <c r="S168" s="152"/>
      <c r="T168" s="152"/>
      <c r="U168" s="152"/>
      <c r="V168" s="152"/>
      <c r="W168" s="152"/>
      <c r="X168" s="162"/>
      <c r="Y168" s="162"/>
    </row>
    <row r="169" spans="1:25" ht="16.5" x14ac:dyDescent="0.15">
      <c r="A169" s="44">
        <v>2025</v>
      </c>
      <c r="B169" s="44">
        <v>173</v>
      </c>
      <c r="C169" s="44" t="s">
        <v>214</v>
      </c>
      <c r="D169" s="44" t="s">
        <v>1051</v>
      </c>
      <c r="E169" s="145" t="s">
        <v>1052</v>
      </c>
      <c r="F169" s="145" t="s">
        <v>856</v>
      </c>
      <c r="G169" s="146">
        <v>46154</v>
      </c>
      <c r="H169" s="147">
        <v>46154</v>
      </c>
      <c r="I169" s="147" t="s">
        <v>248</v>
      </c>
      <c r="J169" s="147">
        <v>46153</v>
      </c>
      <c r="K169" s="148">
        <v>30000</v>
      </c>
      <c r="L169" s="44" t="s">
        <v>218</v>
      </c>
      <c r="M169" s="307" t="s">
        <v>590</v>
      </c>
      <c r="N169" s="146">
        <v>46157</v>
      </c>
      <c r="O169" s="146" t="s">
        <v>197</v>
      </c>
      <c r="P169" s="146" t="s">
        <v>273</v>
      </c>
      <c r="Q169" s="146">
        <v>46157</v>
      </c>
      <c r="R169" s="146">
        <v>46154</v>
      </c>
      <c r="S169" s="146" t="s">
        <v>856</v>
      </c>
      <c r="T169" s="146" t="s">
        <v>621</v>
      </c>
      <c r="U169" s="146" t="s">
        <v>857</v>
      </c>
      <c r="V169" s="146" t="s">
        <v>474</v>
      </c>
      <c r="W169" s="146" t="s">
        <v>858</v>
      </c>
      <c r="X169" s="172" t="s">
        <v>273</v>
      </c>
      <c r="Y169" s="172"/>
    </row>
    <row r="170" spans="1:25" ht="16.5" x14ac:dyDescent="0.15">
      <c r="A170" s="44">
        <v>2025</v>
      </c>
      <c r="B170" s="44">
        <v>174</v>
      </c>
      <c r="C170" s="44" t="s">
        <v>1118</v>
      </c>
      <c r="D170" s="44" t="s">
        <v>367</v>
      </c>
      <c r="E170" s="145" t="s">
        <v>1119</v>
      </c>
      <c r="F170" s="145" t="s">
        <v>1120</v>
      </c>
      <c r="G170" s="146">
        <v>46125</v>
      </c>
      <c r="H170" s="147">
        <v>46125</v>
      </c>
      <c r="I170" s="147" t="s">
        <v>248</v>
      </c>
      <c r="J170" s="147">
        <v>46157</v>
      </c>
      <c r="K170" s="148">
        <v>15000000</v>
      </c>
      <c r="L170" s="44" t="s">
        <v>218</v>
      </c>
      <c r="M170" s="307"/>
      <c r="N170" s="146">
        <v>46160</v>
      </c>
      <c r="O170" s="146" t="s">
        <v>1121</v>
      </c>
      <c r="P170" s="146" t="s">
        <v>321</v>
      </c>
      <c r="Q170" s="146">
        <v>46157</v>
      </c>
      <c r="R170" s="146">
        <v>46125</v>
      </c>
      <c r="S170" s="146" t="s">
        <v>1122</v>
      </c>
      <c r="T170" s="146" t="s">
        <v>239</v>
      </c>
      <c r="U170" s="146" t="s">
        <v>240</v>
      </c>
      <c r="V170" s="146"/>
      <c r="W170" s="146"/>
      <c r="X170" s="172" t="s">
        <v>1123</v>
      </c>
      <c r="Y170" s="172"/>
    </row>
    <row r="171" spans="1:25" ht="16.5" x14ac:dyDescent="0.15">
      <c r="A171" s="308">
        <v>2025</v>
      </c>
      <c r="B171" s="308">
        <v>175</v>
      </c>
      <c r="C171" s="308" t="s">
        <v>1118</v>
      </c>
      <c r="D171" s="308" t="s">
        <v>1059</v>
      </c>
      <c r="E171" s="309" t="s">
        <v>1124</v>
      </c>
      <c r="F171" s="309" t="s">
        <v>1125</v>
      </c>
      <c r="G171" s="310">
        <v>46113</v>
      </c>
      <c r="H171" s="311">
        <v>46143</v>
      </c>
      <c r="I171" s="311" t="s">
        <v>248</v>
      </c>
      <c r="J171" s="311"/>
      <c r="K171" s="312">
        <v>505150000</v>
      </c>
      <c r="L171" s="308" t="s">
        <v>218</v>
      </c>
      <c r="M171" s="313"/>
      <c r="N171" s="310">
        <v>46160</v>
      </c>
      <c r="O171" s="310" t="s">
        <v>1136</v>
      </c>
      <c r="P171" s="310" t="s">
        <v>1137</v>
      </c>
      <c r="Q171" s="310">
        <v>46204</v>
      </c>
      <c r="R171" s="310">
        <v>46174</v>
      </c>
      <c r="S171" s="310" t="s">
        <v>236</v>
      </c>
      <c r="T171" s="310" t="s">
        <v>239</v>
      </c>
      <c r="U171" s="310" t="s">
        <v>240</v>
      </c>
      <c r="V171" s="310"/>
      <c r="W171" s="310"/>
      <c r="X171" s="314" t="s">
        <v>1138</v>
      </c>
      <c r="Y171" s="314"/>
    </row>
    <row r="172" spans="1:25" ht="16.5" x14ac:dyDescent="0.15">
      <c r="A172" s="88">
        <v>2025</v>
      </c>
      <c r="B172" s="88">
        <v>176</v>
      </c>
      <c r="C172" s="88" t="s">
        <v>209</v>
      </c>
      <c r="D172" s="88" t="s">
        <v>1126</v>
      </c>
      <c r="E172" s="86" t="s">
        <v>1127</v>
      </c>
      <c r="F172" s="86" t="s">
        <v>905</v>
      </c>
      <c r="G172" s="89">
        <v>46139</v>
      </c>
      <c r="H172" s="90">
        <v>46169</v>
      </c>
      <c r="I172" s="90" t="s">
        <v>218</v>
      </c>
      <c r="J172" s="90">
        <v>46139</v>
      </c>
      <c r="K172" s="91">
        <v>123000</v>
      </c>
      <c r="L172" s="88" t="s">
        <v>218</v>
      </c>
      <c r="M172" s="92"/>
      <c r="N172" s="89"/>
      <c r="O172" s="89"/>
      <c r="P172" s="89"/>
      <c r="Q172" s="89"/>
      <c r="R172" s="89"/>
      <c r="S172" s="89"/>
      <c r="T172" s="89"/>
      <c r="U172" s="89"/>
      <c r="V172" s="89"/>
      <c r="W172" s="89"/>
      <c r="X172" s="93"/>
      <c r="Y172" s="93"/>
    </row>
    <row r="173" spans="1:25" ht="16.5" x14ac:dyDescent="0.15">
      <c r="A173" s="88">
        <v>2025</v>
      </c>
      <c r="B173" s="88">
        <v>177</v>
      </c>
      <c r="C173" s="88" t="s">
        <v>1053</v>
      </c>
      <c r="D173" s="88" t="s">
        <v>1128</v>
      </c>
      <c r="E173" s="86" t="s">
        <v>1119</v>
      </c>
      <c r="F173" s="86" t="s">
        <v>1129</v>
      </c>
      <c r="G173" s="89">
        <v>46143</v>
      </c>
      <c r="H173" s="90">
        <v>46143</v>
      </c>
      <c r="I173" s="90" t="s">
        <v>248</v>
      </c>
      <c r="J173" s="90">
        <v>46143</v>
      </c>
      <c r="K173" s="91">
        <v>500000</v>
      </c>
      <c r="L173" s="88" t="s">
        <v>248</v>
      </c>
      <c r="M173" s="92" t="s">
        <v>1130</v>
      </c>
      <c r="N173" s="89"/>
      <c r="O173" s="89"/>
      <c r="P173" s="89"/>
      <c r="Q173" s="89"/>
      <c r="R173" s="89"/>
      <c r="S173" s="89"/>
      <c r="T173" s="89"/>
      <c r="U173" s="89"/>
      <c r="V173" s="89"/>
      <c r="W173" s="89"/>
      <c r="X173" s="93"/>
      <c r="Y173" s="93"/>
    </row>
  </sheetData>
  <mergeCells count="2">
    <mergeCell ref="A1:C1"/>
    <mergeCell ref="A2:D2"/>
  </mergeCells>
  <phoneticPr fontId="3"/>
  <conditionalFormatting sqref="C8 E8:M8 C126 E126:M126 E129:M129 C129 C132 E132:M132 E146:M146 C146">
    <cfRule type="expression" dxfId="609" priority="575" stopIfTrue="1">
      <formula>ISERROR</formula>
    </cfRule>
  </conditionalFormatting>
  <conditionalFormatting sqref="N8:Y8 C126:Y126 C129:Y129 C132:Y132 C146:Y146">
    <cfRule type="cellIs" dxfId="608" priority="572" stopIfTrue="1" operator="equal">
      <formula>0</formula>
    </cfRule>
  </conditionalFormatting>
  <conditionalFormatting sqref="D8:M8">
    <cfRule type="cellIs" dxfId="607" priority="573" stopIfTrue="1" operator="equal">
      <formula>0</formula>
    </cfRule>
  </conditionalFormatting>
  <conditionalFormatting sqref="A2 C3:J3 C8">
    <cfRule type="cellIs" dxfId="606" priority="574" stopIfTrue="1" operator="equal">
      <formula>0</formula>
    </cfRule>
  </conditionalFormatting>
  <conditionalFormatting sqref="L3:Y3 L8">
    <cfRule type="cellIs" dxfId="605" priority="571" stopIfTrue="1" operator="equal">
      <formula>0</formula>
    </cfRule>
  </conditionalFormatting>
  <conditionalFormatting sqref="L8">
    <cfRule type="cellIs" dxfId="604" priority="570" stopIfTrue="1" operator="equal">
      <formula>0</formula>
    </cfRule>
  </conditionalFormatting>
  <conditionalFormatting sqref="I8">
    <cfRule type="cellIs" dxfId="603" priority="569" stopIfTrue="1" operator="equal">
      <formula>0</formula>
    </cfRule>
  </conditionalFormatting>
  <conditionalFormatting sqref="C4:J4">
    <cfRule type="cellIs" dxfId="602" priority="568" stopIfTrue="1" operator="equal">
      <formula>0</formula>
    </cfRule>
  </conditionalFormatting>
  <conditionalFormatting sqref="L4:Y4">
    <cfRule type="cellIs" dxfId="601" priority="567" stopIfTrue="1" operator="equal">
      <formula>0</formula>
    </cfRule>
  </conditionalFormatting>
  <conditionalFormatting sqref="C5 E5:F5 I5:M5">
    <cfRule type="expression" dxfId="600" priority="566" stopIfTrue="1">
      <formula>ISERROR</formula>
    </cfRule>
  </conditionalFormatting>
  <conditionalFormatting sqref="N5:Y5">
    <cfRule type="cellIs" dxfId="599" priority="563" stopIfTrue="1" operator="equal">
      <formula>0</formula>
    </cfRule>
  </conditionalFormatting>
  <conditionalFormatting sqref="D5:F5 I5:M5">
    <cfRule type="cellIs" dxfId="598" priority="564" stopIfTrue="1" operator="equal">
      <formula>0</formula>
    </cfRule>
  </conditionalFormatting>
  <conditionalFormatting sqref="C5">
    <cfRule type="cellIs" dxfId="597" priority="565" stopIfTrue="1" operator="equal">
      <formula>0</formula>
    </cfRule>
  </conditionalFormatting>
  <conditionalFormatting sqref="L5">
    <cfRule type="cellIs" dxfId="596" priority="562" stopIfTrue="1" operator="equal">
      <formula>0</formula>
    </cfRule>
  </conditionalFormatting>
  <conditionalFormatting sqref="L5">
    <cfRule type="cellIs" dxfId="595" priority="561" stopIfTrue="1" operator="equal">
      <formula>0</formula>
    </cfRule>
  </conditionalFormatting>
  <conditionalFormatting sqref="I5">
    <cfRule type="cellIs" dxfId="594" priority="560" stopIfTrue="1" operator="equal">
      <formula>0</formula>
    </cfRule>
  </conditionalFormatting>
  <conditionalFormatting sqref="G5:H5">
    <cfRule type="expression" dxfId="593" priority="559" stopIfTrue="1">
      <formula>ISERROR</formula>
    </cfRule>
  </conditionalFormatting>
  <conditionalFormatting sqref="G5:H5">
    <cfRule type="cellIs" dxfId="592" priority="558" stopIfTrue="1" operator="equal">
      <formula>0</formula>
    </cfRule>
  </conditionalFormatting>
  <conditionalFormatting sqref="C6 E6:M6">
    <cfRule type="expression" dxfId="591" priority="557" stopIfTrue="1">
      <formula>ISERROR</formula>
    </cfRule>
  </conditionalFormatting>
  <conditionalFormatting sqref="N6:Y6">
    <cfRule type="cellIs" dxfId="590" priority="554" stopIfTrue="1" operator="equal">
      <formula>0</formula>
    </cfRule>
  </conditionalFormatting>
  <conditionalFormatting sqref="D6:M6">
    <cfRule type="cellIs" dxfId="589" priority="555" stopIfTrue="1" operator="equal">
      <formula>0</formula>
    </cfRule>
  </conditionalFormatting>
  <conditionalFormatting sqref="C6">
    <cfRule type="cellIs" dxfId="588" priority="556" stopIfTrue="1" operator="equal">
      <formula>0</formula>
    </cfRule>
  </conditionalFormatting>
  <conditionalFormatting sqref="L6">
    <cfRule type="cellIs" dxfId="587" priority="553" stopIfTrue="1" operator="equal">
      <formula>0</formula>
    </cfRule>
  </conditionalFormatting>
  <conditionalFormatting sqref="L6">
    <cfRule type="cellIs" dxfId="586" priority="552" stopIfTrue="1" operator="equal">
      <formula>0</formula>
    </cfRule>
  </conditionalFormatting>
  <conditionalFormatting sqref="I6">
    <cfRule type="cellIs" dxfId="585" priority="551" stopIfTrue="1" operator="equal">
      <formula>0</formula>
    </cfRule>
  </conditionalFormatting>
  <conditionalFormatting sqref="C7 E7:M7">
    <cfRule type="expression" dxfId="584" priority="550" stopIfTrue="1">
      <formula>ISERROR</formula>
    </cfRule>
  </conditionalFormatting>
  <conditionalFormatting sqref="N7:Y7">
    <cfRule type="cellIs" dxfId="583" priority="547" stopIfTrue="1" operator="equal">
      <formula>0</formula>
    </cfRule>
  </conditionalFormatting>
  <conditionalFormatting sqref="D7:M7">
    <cfRule type="cellIs" dxfId="582" priority="548" stopIfTrue="1" operator="equal">
      <formula>0</formula>
    </cfRule>
  </conditionalFormatting>
  <conditionalFormatting sqref="C7">
    <cfRule type="cellIs" dxfId="581" priority="549" stopIfTrue="1" operator="equal">
      <formula>0</formula>
    </cfRule>
  </conditionalFormatting>
  <conditionalFormatting sqref="L7">
    <cfRule type="cellIs" dxfId="580" priority="546" stopIfTrue="1" operator="equal">
      <formula>0</formula>
    </cfRule>
  </conditionalFormatting>
  <conditionalFormatting sqref="L7">
    <cfRule type="cellIs" dxfId="579" priority="545" stopIfTrue="1" operator="equal">
      <formula>0</formula>
    </cfRule>
  </conditionalFormatting>
  <conditionalFormatting sqref="I7">
    <cfRule type="cellIs" dxfId="578" priority="544" stopIfTrue="1" operator="equal">
      <formula>0</formula>
    </cfRule>
  </conditionalFormatting>
  <conditionalFormatting sqref="C9 E9:M9">
    <cfRule type="expression" dxfId="577" priority="543" stopIfTrue="1">
      <formula>ISERROR</formula>
    </cfRule>
  </conditionalFormatting>
  <conditionalFormatting sqref="N9:Y9">
    <cfRule type="cellIs" dxfId="576" priority="540" stopIfTrue="1" operator="equal">
      <formula>0</formula>
    </cfRule>
  </conditionalFormatting>
  <conditionalFormatting sqref="D9:M9">
    <cfRule type="cellIs" dxfId="575" priority="541" stopIfTrue="1" operator="equal">
      <formula>0</formula>
    </cfRule>
  </conditionalFormatting>
  <conditionalFormatting sqref="C9">
    <cfRule type="cellIs" dxfId="574" priority="542" stopIfTrue="1" operator="equal">
      <formula>0</formula>
    </cfRule>
  </conditionalFormatting>
  <conditionalFormatting sqref="L9">
    <cfRule type="cellIs" dxfId="573" priority="539" stopIfTrue="1" operator="equal">
      <formula>0</formula>
    </cfRule>
  </conditionalFormatting>
  <conditionalFormatting sqref="L9">
    <cfRule type="cellIs" dxfId="572" priority="538" stopIfTrue="1" operator="equal">
      <formula>0</formula>
    </cfRule>
  </conditionalFormatting>
  <conditionalFormatting sqref="I9">
    <cfRule type="cellIs" dxfId="571" priority="537" stopIfTrue="1" operator="equal">
      <formula>0</formula>
    </cfRule>
  </conditionalFormatting>
  <conditionalFormatting sqref="C10 E10:M10">
    <cfRule type="expression" dxfId="570" priority="536" stopIfTrue="1">
      <formula>ISERROR</formula>
    </cfRule>
  </conditionalFormatting>
  <conditionalFormatting sqref="N10:Y10">
    <cfRule type="cellIs" dxfId="569" priority="533" stopIfTrue="1" operator="equal">
      <formula>0</formula>
    </cfRule>
  </conditionalFormatting>
  <conditionalFormatting sqref="D10:M10">
    <cfRule type="cellIs" dxfId="568" priority="534" stopIfTrue="1" operator="equal">
      <formula>0</formula>
    </cfRule>
  </conditionalFormatting>
  <conditionalFormatting sqref="C10">
    <cfRule type="cellIs" dxfId="567" priority="535" stopIfTrue="1" operator="equal">
      <formula>0</formula>
    </cfRule>
  </conditionalFormatting>
  <conditionalFormatting sqref="L10">
    <cfRule type="cellIs" dxfId="566" priority="532" stopIfTrue="1" operator="equal">
      <formula>0</formula>
    </cfRule>
  </conditionalFormatting>
  <conditionalFormatting sqref="L10">
    <cfRule type="cellIs" dxfId="565" priority="531" stopIfTrue="1" operator="equal">
      <formula>0</formula>
    </cfRule>
  </conditionalFormatting>
  <conditionalFormatting sqref="I10">
    <cfRule type="cellIs" dxfId="564" priority="530" stopIfTrue="1" operator="equal">
      <formula>0</formula>
    </cfRule>
  </conditionalFormatting>
  <conditionalFormatting sqref="C11 E11:M11">
    <cfRule type="expression" dxfId="563" priority="529" stopIfTrue="1">
      <formula>ISERROR</formula>
    </cfRule>
  </conditionalFormatting>
  <conditionalFormatting sqref="N11:Y11">
    <cfRule type="cellIs" dxfId="562" priority="526" stopIfTrue="1" operator="equal">
      <formula>0</formula>
    </cfRule>
  </conditionalFormatting>
  <conditionalFormatting sqref="D11:M11">
    <cfRule type="cellIs" dxfId="561" priority="527" stopIfTrue="1" operator="equal">
      <formula>0</formula>
    </cfRule>
  </conditionalFormatting>
  <conditionalFormatting sqref="C11">
    <cfRule type="cellIs" dxfId="560" priority="528" stopIfTrue="1" operator="equal">
      <formula>0</formula>
    </cfRule>
  </conditionalFormatting>
  <conditionalFormatting sqref="L11">
    <cfRule type="cellIs" dxfId="559" priority="525" stopIfTrue="1" operator="equal">
      <formula>0</formula>
    </cfRule>
  </conditionalFormatting>
  <conditionalFormatting sqref="L11">
    <cfRule type="cellIs" dxfId="558" priority="524" stopIfTrue="1" operator="equal">
      <formula>0</formula>
    </cfRule>
  </conditionalFormatting>
  <conditionalFormatting sqref="I11">
    <cfRule type="cellIs" dxfId="557" priority="523" stopIfTrue="1" operator="equal">
      <formula>0</formula>
    </cfRule>
  </conditionalFormatting>
  <conditionalFormatting sqref="C12 E12:M12">
    <cfRule type="expression" dxfId="556" priority="522" stopIfTrue="1">
      <formula>ISERROR</formula>
    </cfRule>
  </conditionalFormatting>
  <conditionalFormatting sqref="N12:Y12">
    <cfRule type="cellIs" dxfId="555" priority="519" stopIfTrue="1" operator="equal">
      <formula>0</formula>
    </cfRule>
  </conditionalFormatting>
  <conditionalFormatting sqref="D12:M12">
    <cfRule type="cellIs" dxfId="554" priority="520" stopIfTrue="1" operator="equal">
      <formula>0</formula>
    </cfRule>
  </conditionalFormatting>
  <conditionalFormatting sqref="C12">
    <cfRule type="cellIs" dxfId="553" priority="521" stopIfTrue="1" operator="equal">
      <formula>0</formula>
    </cfRule>
  </conditionalFormatting>
  <conditionalFormatting sqref="L12">
    <cfRule type="cellIs" dxfId="552" priority="518" stopIfTrue="1" operator="equal">
      <formula>0</formula>
    </cfRule>
  </conditionalFormatting>
  <conditionalFormatting sqref="L12">
    <cfRule type="cellIs" dxfId="551" priority="517" stopIfTrue="1" operator="equal">
      <formula>0</formula>
    </cfRule>
  </conditionalFormatting>
  <conditionalFormatting sqref="I12">
    <cfRule type="cellIs" dxfId="550" priority="516" stopIfTrue="1" operator="equal">
      <formula>0</formula>
    </cfRule>
  </conditionalFormatting>
  <conditionalFormatting sqref="C13 E13:M13">
    <cfRule type="expression" dxfId="549" priority="515" stopIfTrue="1">
      <formula>ISERROR</formula>
    </cfRule>
  </conditionalFormatting>
  <conditionalFormatting sqref="N13:Y13">
    <cfRule type="cellIs" dxfId="548" priority="512" stopIfTrue="1" operator="equal">
      <formula>0</formula>
    </cfRule>
  </conditionalFormatting>
  <conditionalFormatting sqref="D13:M13">
    <cfRule type="cellIs" dxfId="547" priority="513" stopIfTrue="1" operator="equal">
      <formula>0</formula>
    </cfRule>
  </conditionalFormatting>
  <conditionalFormatting sqref="C13">
    <cfRule type="cellIs" dxfId="546" priority="514" stopIfTrue="1" operator="equal">
      <formula>0</formula>
    </cfRule>
  </conditionalFormatting>
  <conditionalFormatting sqref="L13">
    <cfRule type="cellIs" dxfId="545" priority="511" stopIfTrue="1" operator="equal">
      <formula>0</formula>
    </cfRule>
  </conditionalFormatting>
  <conditionalFormatting sqref="L13">
    <cfRule type="cellIs" dxfId="544" priority="510" stopIfTrue="1" operator="equal">
      <formula>0</formula>
    </cfRule>
  </conditionalFormatting>
  <conditionalFormatting sqref="I13">
    <cfRule type="cellIs" dxfId="543" priority="509" stopIfTrue="1" operator="equal">
      <formula>0</formula>
    </cfRule>
  </conditionalFormatting>
  <conditionalFormatting sqref="C14 E14:M14">
    <cfRule type="expression" dxfId="542" priority="508" stopIfTrue="1">
      <formula>ISERROR</formula>
    </cfRule>
  </conditionalFormatting>
  <conditionalFormatting sqref="N14:Y14">
    <cfRule type="cellIs" dxfId="541" priority="505" stopIfTrue="1" operator="equal">
      <formula>0</formula>
    </cfRule>
  </conditionalFormatting>
  <conditionalFormatting sqref="D14:H14 J14:M14">
    <cfRule type="cellIs" dxfId="540" priority="506" stopIfTrue="1" operator="equal">
      <formula>0</formula>
    </cfRule>
  </conditionalFormatting>
  <conditionalFormatting sqref="C14">
    <cfRule type="cellIs" dxfId="539" priority="507" stopIfTrue="1" operator="equal">
      <formula>0</formula>
    </cfRule>
  </conditionalFormatting>
  <conditionalFormatting sqref="L14">
    <cfRule type="cellIs" dxfId="538" priority="504" stopIfTrue="1" operator="equal">
      <formula>0</formula>
    </cfRule>
  </conditionalFormatting>
  <conditionalFormatting sqref="L14">
    <cfRule type="cellIs" dxfId="537" priority="503" stopIfTrue="1" operator="equal">
      <formula>0</formula>
    </cfRule>
  </conditionalFormatting>
  <conditionalFormatting sqref="I14">
    <cfRule type="cellIs" dxfId="536" priority="502" stopIfTrue="1" operator="equal">
      <formula>0</formula>
    </cfRule>
  </conditionalFormatting>
  <conditionalFormatting sqref="C15 E15:M15">
    <cfRule type="expression" dxfId="535" priority="501" stopIfTrue="1">
      <formula>ISERROR</formula>
    </cfRule>
  </conditionalFormatting>
  <conditionalFormatting sqref="N15:Y15">
    <cfRule type="cellIs" dxfId="534" priority="498" stopIfTrue="1" operator="equal">
      <formula>0</formula>
    </cfRule>
  </conditionalFormatting>
  <conditionalFormatting sqref="D15:M15">
    <cfRule type="cellIs" dxfId="533" priority="499" stopIfTrue="1" operator="equal">
      <formula>0</formula>
    </cfRule>
  </conditionalFormatting>
  <conditionalFormatting sqref="C15">
    <cfRule type="cellIs" dxfId="532" priority="500" stopIfTrue="1" operator="equal">
      <formula>0</formula>
    </cfRule>
  </conditionalFormatting>
  <conditionalFormatting sqref="L15">
    <cfRule type="cellIs" dxfId="531" priority="497" stopIfTrue="1" operator="equal">
      <formula>0</formula>
    </cfRule>
  </conditionalFormatting>
  <conditionalFormatting sqref="L15">
    <cfRule type="cellIs" dxfId="530" priority="496" stopIfTrue="1" operator="equal">
      <formula>0</formula>
    </cfRule>
  </conditionalFormatting>
  <conditionalFormatting sqref="C16 E16:F16 L16:M16">
    <cfRule type="expression" dxfId="529" priority="495" stopIfTrue="1">
      <formula>ISERROR</formula>
    </cfRule>
  </conditionalFormatting>
  <conditionalFormatting sqref="N16:Y16">
    <cfRule type="cellIs" dxfId="528" priority="492" stopIfTrue="1" operator="equal">
      <formula>0</formula>
    </cfRule>
  </conditionalFormatting>
  <conditionalFormatting sqref="D16:F16 L16:M16">
    <cfRule type="cellIs" dxfId="527" priority="493" stopIfTrue="1" operator="equal">
      <formula>0</formula>
    </cfRule>
  </conditionalFormatting>
  <conditionalFormatting sqref="C16">
    <cfRule type="cellIs" dxfId="526" priority="494" stopIfTrue="1" operator="equal">
      <formula>0</formula>
    </cfRule>
  </conditionalFormatting>
  <conditionalFormatting sqref="L16">
    <cfRule type="cellIs" dxfId="525" priority="491" stopIfTrue="1" operator="equal">
      <formula>0</formula>
    </cfRule>
  </conditionalFormatting>
  <conditionalFormatting sqref="L16">
    <cfRule type="cellIs" dxfId="524" priority="490" stopIfTrue="1" operator="equal">
      <formula>0</formula>
    </cfRule>
  </conditionalFormatting>
  <conditionalFormatting sqref="G16:K16">
    <cfRule type="expression" dxfId="523" priority="489" stopIfTrue="1">
      <formula>ISERROR</formula>
    </cfRule>
  </conditionalFormatting>
  <conditionalFormatting sqref="G16:K16">
    <cfRule type="cellIs" dxfId="522" priority="488" stopIfTrue="1" operator="equal">
      <formula>0</formula>
    </cfRule>
  </conditionalFormatting>
  <conditionalFormatting sqref="C17 E17:M17">
    <cfRule type="expression" dxfId="521" priority="487" stopIfTrue="1">
      <formula>ISERROR</formula>
    </cfRule>
  </conditionalFormatting>
  <conditionalFormatting sqref="N17:Y17">
    <cfRule type="cellIs" dxfId="520" priority="484" stopIfTrue="1" operator="equal">
      <formula>0</formula>
    </cfRule>
  </conditionalFormatting>
  <conditionalFormatting sqref="M17 D17:K17">
    <cfRule type="cellIs" dxfId="519" priority="485" stopIfTrue="1" operator="equal">
      <formula>0</formula>
    </cfRule>
  </conditionalFormatting>
  <conditionalFormatting sqref="C17">
    <cfRule type="cellIs" dxfId="518" priority="486" stopIfTrue="1" operator="equal">
      <formula>0</formula>
    </cfRule>
  </conditionalFormatting>
  <conditionalFormatting sqref="L17">
    <cfRule type="cellIs" dxfId="517" priority="483" stopIfTrue="1" operator="equal">
      <formula>0</formula>
    </cfRule>
  </conditionalFormatting>
  <conditionalFormatting sqref="C18 E18:M18">
    <cfRule type="expression" dxfId="516" priority="482" stopIfTrue="1">
      <formula>ISERROR</formula>
    </cfRule>
  </conditionalFormatting>
  <conditionalFormatting sqref="N18:Y18">
    <cfRule type="cellIs" dxfId="515" priority="478" stopIfTrue="1" operator="equal">
      <formula>0</formula>
    </cfRule>
  </conditionalFormatting>
  <conditionalFormatting sqref="M18 D18:K18">
    <cfRule type="cellIs" dxfId="514" priority="479" stopIfTrue="1" operator="equal">
      <formula>0</formula>
    </cfRule>
  </conditionalFormatting>
  <conditionalFormatting sqref="F18:J18">
    <cfRule type="expression" dxfId="513" priority="481" stopIfTrue="1">
      <formula>ISERROR</formula>
    </cfRule>
  </conditionalFormatting>
  <conditionalFormatting sqref="C18">
    <cfRule type="cellIs" dxfId="512" priority="480" stopIfTrue="1" operator="equal">
      <formula>0</formula>
    </cfRule>
  </conditionalFormatting>
  <conditionalFormatting sqref="L18">
    <cfRule type="cellIs" dxfId="511" priority="477" stopIfTrue="1" operator="equal">
      <formula>0</formula>
    </cfRule>
  </conditionalFormatting>
  <conditionalFormatting sqref="C19 E19:M19">
    <cfRule type="expression" dxfId="510" priority="476" stopIfTrue="1">
      <formula>ISERROR</formula>
    </cfRule>
  </conditionalFormatting>
  <conditionalFormatting sqref="N19:Y19">
    <cfRule type="cellIs" dxfId="509" priority="473" stopIfTrue="1" operator="equal">
      <formula>0</formula>
    </cfRule>
  </conditionalFormatting>
  <conditionalFormatting sqref="M19 D19:K19">
    <cfRule type="cellIs" dxfId="508" priority="474" stopIfTrue="1" operator="equal">
      <formula>0</formula>
    </cfRule>
  </conditionalFormatting>
  <conditionalFormatting sqref="C19">
    <cfRule type="cellIs" dxfId="507" priority="475" stopIfTrue="1" operator="equal">
      <formula>0</formula>
    </cfRule>
  </conditionalFormatting>
  <conditionalFormatting sqref="L19">
    <cfRule type="cellIs" dxfId="506" priority="472" stopIfTrue="1" operator="equal">
      <formula>0</formula>
    </cfRule>
  </conditionalFormatting>
  <conditionalFormatting sqref="I19">
    <cfRule type="cellIs" dxfId="505" priority="471" stopIfTrue="1" operator="equal">
      <formula>0</formula>
    </cfRule>
  </conditionalFormatting>
  <conditionalFormatting sqref="C20 M20 E20:K20">
    <cfRule type="expression" dxfId="504" priority="470" stopIfTrue="1">
      <formula>ISERROR</formula>
    </cfRule>
  </conditionalFormatting>
  <conditionalFormatting sqref="N20:Y20">
    <cfRule type="cellIs" dxfId="503" priority="467" stopIfTrue="1" operator="equal">
      <formula>0</formula>
    </cfRule>
  </conditionalFormatting>
  <conditionalFormatting sqref="M20 D20:K20">
    <cfRule type="cellIs" dxfId="502" priority="468" stopIfTrue="1" operator="equal">
      <formula>0</formula>
    </cfRule>
  </conditionalFormatting>
  <conditionalFormatting sqref="C20">
    <cfRule type="cellIs" dxfId="501" priority="469" stopIfTrue="1" operator="equal">
      <formula>0</formula>
    </cfRule>
  </conditionalFormatting>
  <conditionalFormatting sqref="K20:L20">
    <cfRule type="cellIs" dxfId="500" priority="466" stopIfTrue="1" operator="equal">
      <formula>0</formula>
    </cfRule>
  </conditionalFormatting>
  <conditionalFormatting sqref="L20">
    <cfRule type="expression" dxfId="499" priority="464" stopIfTrue="1">
      <formula>ISERROR</formula>
    </cfRule>
  </conditionalFormatting>
  <conditionalFormatting sqref="L20">
    <cfRule type="cellIs" dxfId="498" priority="465" stopIfTrue="1" operator="equal">
      <formula>0</formula>
    </cfRule>
  </conditionalFormatting>
  <conditionalFormatting sqref="C21 E21:M21">
    <cfRule type="expression" dxfId="497" priority="463" stopIfTrue="1">
      <formula>ISERROR</formula>
    </cfRule>
  </conditionalFormatting>
  <conditionalFormatting sqref="N21:Y21">
    <cfRule type="cellIs" dxfId="496" priority="460" stopIfTrue="1" operator="equal">
      <formula>0</formula>
    </cfRule>
  </conditionalFormatting>
  <conditionalFormatting sqref="M21 D21:K21">
    <cfRule type="cellIs" dxfId="495" priority="461" stopIfTrue="1" operator="equal">
      <formula>0</formula>
    </cfRule>
  </conditionalFormatting>
  <conditionalFormatting sqref="C21">
    <cfRule type="cellIs" dxfId="494" priority="462" stopIfTrue="1" operator="equal">
      <formula>0</formula>
    </cfRule>
  </conditionalFormatting>
  <conditionalFormatting sqref="L21">
    <cfRule type="cellIs" dxfId="493" priority="459" stopIfTrue="1" operator="equal">
      <formula>0</formula>
    </cfRule>
  </conditionalFormatting>
  <conditionalFormatting sqref="C22 E22:M22">
    <cfRule type="expression" dxfId="492" priority="458" stopIfTrue="1">
      <formula>ISERROR</formula>
    </cfRule>
  </conditionalFormatting>
  <conditionalFormatting sqref="N22:Y22">
    <cfRule type="cellIs" dxfId="491" priority="455" stopIfTrue="1" operator="equal">
      <formula>0</formula>
    </cfRule>
  </conditionalFormatting>
  <conditionalFormatting sqref="M22 D22:H22 J22:K22">
    <cfRule type="cellIs" dxfId="490" priority="456" stopIfTrue="1" operator="equal">
      <formula>0</formula>
    </cfRule>
  </conditionalFormatting>
  <conditionalFormatting sqref="C22">
    <cfRule type="cellIs" dxfId="489" priority="457" stopIfTrue="1" operator="equal">
      <formula>0</formula>
    </cfRule>
  </conditionalFormatting>
  <conditionalFormatting sqref="L22">
    <cfRule type="cellIs" dxfId="488" priority="454" stopIfTrue="1" operator="equal">
      <formula>0</formula>
    </cfRule>
  </conditionalFormatting>
  <conditionalFormatting sqref="I22">
    <cfRule type="cellIs" dxfId="487" priority="453" stopIfTrue="1" operator="equal">
      <formula>0</formula>
    </cfRule>
  </conditionalFormatting>
  <conditionalFormatting sqref="L23">
    <cfRule type="expression" dxfId="486" priority="452" stopIfTrue="1">
      <formula>ISERROR</formula>
    </cfRule>
  </conditionalFormatting>
  <conditionalFormatting sqref="N23:Y23">
    <cfRule type="cellIs" dxfId="485" priority="448" stopIfTrue="1" operator="equal">
      <formula>0</formula>
    </cfRule>
  </conditionalFormatting>
  <conditionalFormatting sqref="M23 D23">
    <cfRule type="cellIs" dxfId="484" priority="450" stopIfTrue="1" operator="equal">
      <formula>0</formula>
    </cfRule>
  </conditionalFormatting>
  <conditionalFormatting sqref="M23">
    <cfRule type="expression" dxfId="483" priority="449" stopIfTrue="1">
      <formula>ISERROR</formula>
    </cfRule>
  </conditionalFormatting>
  <conditionalFormatting sqref="C23">
    <cfRule type="cellIs" dxfId="482" priority="451" stopIfTrue="1" operator="equal">
      <formula>0</formula>
    </cfRule>
  </conditionalFormatting>
  <conditionalFormatting sqref="L23">
    <cfRule type="cellIs" dxfId="481" priority="447" stopIfTrue="1" operator="equal">
      <formula>0</formula>
    </cfRule>
  </conditionalFormatting>
  <conditionalFormatting sqref="E23:K23">
    <cfRule type="expression" dxfId="480" priority="444" stopIfTrue="1">
      <formula>ISERROR</formula>
    </cfRule>
  </conditionalFormatting>
  <conditionalFormatting sqref="I23">
    <cfRule type="expression" dxfId="479" priority="446" stopIfTrue="1">
      <formula>ISERROR</formula>
    </cfRule>
  </conditionalFormatting>
  <conditionalFormatting sqref="E23:K23">
    <cfRule type="cellIs" dxfId="478" priority="445" stopIfTrue="1" operator="equal">
      <formula>0</formula>
    </cfRule>
  </conditionalFormatting>
  <conditionalFormatting sqref="L24 I24">
    <cfRule type="expression" dxfId="477" priority="443" stopIfTrue="1">
      <formula>ISERROR</formula>
    </cfRule>
  </conditionalFormatting>
  <conditionalFormatting sqref="N24:Y24">
    <cfRule type="cellIs" dxfId="476" priority="439" stopIfTrue="1" operator="equal">
      <formula>0</formula>
    </cfRule>
  </conditionalFormatting>
  <conditionalFormatting sqref="M24 D24:H24 J24:K24">
    <cfRule type="cellIs" dxfId="475" priority="441" stopIfTrue="1" operator="equal">
      <formula>0</formula>
    </cfRule>
  </conditionalFormatting>
  <conditionalFormatting sqref="M24 E24:H24 J24:K24">
    <cfRule type="expression" dxfId="474" priority="440" stopIfTrue="1">
      <formula>ISERROR</formula>
    </cfRule>
  </conditionalFormatting>
  <conditionalFormatting sqref="C24">
    <cfRule type="cellIs" dxfId="473" priority="442" stopIfTrue="1" operator="equal">
      <formula>0</formula>
    </cfRule>
  </conditionalFormatting>
  <conditionalFormatting sqref="L24">
    <cfRule type="cellIs" dxfId="472" priority="438" stopIfTrue="1" operator="equal">
      <formula>0</formula>
    </cfRule>
  </conditionalFormatting>
  <conditionalFormatting sqref="I24">
    <cfRule type="cellIs" dxfId="471" priority="437" stopIfTrue="1" operator="equal">
      <formula>0</formula>
    </cfRule>
  </conditionalFormatting>
  <conditionalFormatting sqref="L25 I25">
    <cfRule type="expression" dxfId="470" priority="436" stopIfTrue="1">
      <formula>ISERROR</formula>
    </cfRule>
  </conditionalFormatting>
  <conditionalFormatting sqref="N25:Y25">
    <cfRule type="cellIs" dxfId="469" priority="432" stopIfTrue="1" operator="equal">
      <formula>0</formula>
    </cfRule>
  </conditionalFormatting>
  <conditionalFormatting sqref="M25 J25:K25 D25:G25">
    <cfRule type="cellIs" dxfId="468" priority="434" stopIfTrue="1" operator="equal">
      <formula>0</formula>
    </cfRule>
  </conditionalFormatting>
  <conditionalFormatting sqref="M25 J25:K25 E25:G25">
    <cfRule type="expression" dxfId="467" priority="433" stopIfTrue="1">
      <formula>ISERROR</formula>
    </cfRule>
  </conditionalFormatting>
  <conditionalFormatting sqref="C25">
    <cfRule type="cellIs" dxfId="466" priority="435" stopIfTrue="1" operator="equal">
      <formula>0</formula>
    </cfRule>
  </conditionalFormatting>
  <conditionalFormatting sqref="L25">
    <cfRule type="cellIs" dxfId="465" priority="431" stopIfTrue="1" operator="equal">
      <formula>0</formula>
    </cfRule>
  </conditionalFormatting>
  <conditionalFormatting sqref="I25">
    <cfRule type="cellIs" dxfId="464" priority="430" stopIfTrue="1" operator="equal">
      <formula>0</formula>
    </cfRule>
  </conditionalFormatting>
  <conditionalFormatting sqref="H25">
    <cfRule type="cellIs" dxfId="463" priority="429" stopIfTrue="1" operator="equal">
      <formula>0</formula>
    </cfRule>
  </conditionalFormatting>
  <conditionalFormatting sqref="H25">
    <cfRule type="expression" dxfId="462" priority="428" stopIfTrue="1">
      <formula>ISERROR</formula>
    </cfRule>
  </conditionalFormatting>
  <conditionalFormatting sqref="L26 I26">
    <cfRule type="expression" dxfId="461" priority="427" stopIfTrue="1">
      <formula>ISERROR</formula>
    </cfRule>
  </conditionalFormatting>
  <conditionalFormatting sqref="N26:Y26">
    <cfRule type="cellIs" dxfId="460" priority="423" stopIfTrue="1" operator="equal">
      <formula>0</formula>
    </cfRule>
  </conditionalFormatting>
  <conditionalFormatting sqref="M26 J26:K26 D26:H26">
    <cfRule type="cellIs" dxfId="459" priority="425" stopIfTrue="1" operator="equal">
      <formula>0</formula>
    </cfRule>
  </conditionalFormatting>
  <conditionalFormatting sqref="M26 J26:K26 E26:H26">
    <cfRule type="expression" dxfId="458" priority="424" stopIfTrue="1">
      <formula>ISERROR</formula>
    </cfRule>
  </conditionalFormatting>
  <conditionalFormatting sqref="C26">
    <cfRule type="cellIs" dxfId="457" priority="426" stopIfTrue="1" operator="equal">
      <formula>0</formula>
    </cfRule>
  </conditionalFormatting>
  <conditionalFormatting sqref="L26">
    <cfRule type="cellIs" dxfId="456" priority="422" stopIfTrue="1" operator="equal">
      <formula>0</formula>
    </cfRule>
  </conditionalFormatting>
  <conditionalFormatting sqref="I26">
    <cfRule type="cellIs" dxfId="455" priority="421" stopIfTrue="1" operator="equal">
      <formula>0</formula>
    </cfRule>
  </conditionalFormatting>
  <conditionalFormatting sqref="L27 I27">
    <cfRule type="expression" dxfId="454" priority="420" stopIfTrue="1">
      <formula>ISERROR</formula>
    </cfRule>
  </conditionalFormatting>
  <conditionalFormatting sqref="N27:Y27">
    <cfRule type="cellIs" dxfId="453" priority="416" stopIfTrue="1" operator="equal">
      <formula>0</formula>
    </cfRule>
  </conditionalFormatting>
  <conditionalFormatting sqref="M27 J27:K27 D27:H27">
    <cfRule type="cellIs" dxfId="452" priority="418" stopIfTrue="1" operator="equal">
      <formula>0</formula>
    </cfRule>
  </conditionalFormatting>
  <conditionalFormatting sqref="M27 J27:K27 E27:H27">
    <cfRule type="expression" dxfId="451" priority="417" stopIfTrue="1">
      <formula>ISERROR</formula>
    </cfRule>
  </conditionalFormatting>
  <conditionalFormatting sqref="C27">
    <cfRule type="cellIs" dxfId="450" priority="419" stopIfTrue="1" operator="equal">
      <formula>0</formula>
    </cfRule>
  </conditionalFormatting>
  <conditionalFormatting sqref="L27">
    <cfRule type="cellIs" dxfId="449" priority="415" stopIfTrue="1" operator="equal">
      <formula>0</formula>
    </cfRule>
  </conditionalFormatting>
  <conditionalFormatting sqref="I27">
    <cfRule type="cellIs" dxfId="448" priority="414" stopIfTrue="1" operator="equal">
      <formula>0</formula>
    </cfRule>
  </conditionalFormatting>
  <conditionalFormatting sqref="D28:H28 N28:Y28">
    <cfRule type="cellIs" dxfId="447" priority="411" stopIfTrue="1" operator="equal">
      <formula>0</formula>
    </cfRule>
  </conditionalFormatting>
  <conditionalFormatting sqref="K28:M28 E28:H28">
    <cfRule type="expression" dxfId="446" priority="412" stopIfTrue="1">
      <formula>ISERROR</formula>
    </cfRule>
  </conditionalFormatting>
  <conditionalFormatting sqref="K28:M28 C28">
    <cfRule type="cellIs" dxfId="445" priority="413" stopIfTrue="1" operator="equal">
      <formula>0</formula>
    </cfRule>
  </conditionalFormatting>
  <conditionalFormatting sqref="L28">
    <cfRule type="cellIs" dxfId="444" priority="410" stopIfTrue="1" operator="equal">
      <formula>0</formula>
    </cfRule>
  </conditionalFormatting>
  <conditionalFormatting sqref="I28:J28">
    <cfRule type="expression" dxfId="443" priority="409" stopIfTrue="1">
      <formula>ISERROR</formula>
    </cfRule>
  </conditionalFormatting>
  <conditionalFormatting sqref="I28:J28">
    <cfRule type="cellIs" dxfId="442" priority="408" stopIfTrue="1" operator="equal">
      <formula>0</formula>
    </cfRule>
  </conditionalFormatting>
  <conditionalFormatting sqref="X29:Y29">
    <cfRule type="cellIs" dxfId="441" priority="407" stopIfTrue="1" operator="equal">
      <formula>0</formula>
    </cfRule>
  </conditionalFormatting>
  <conditionalFormatting sqref="D29:H29 L29 N29:W29">
    <cfRule type="cellIs" dxfId="440" priority="404" stopIfTrue="1" operator="equal">
      <formula>0</formula>
    </cfRule>
  </conditionalFormatting>
  <conditionalFormatting sqref="E29:F29">
    <cfRule type="expression" dxfId="439" priority="405" stopIfTrue="1">
      <formula>ISERROR</formula>
    </cfRule>
  </conditionalFormatting>
  <conditionalFormatting sqref="M29 C29">
    <cfRule type="cellIs" dxfId="438" priority="406" stopIfTrue="1" operator="equal">
      <formula>0</formula>
    </cfRule>
  </conditionalFormatting>
  <conditionalFormatting sqref="I29:J29">
    <cfRule type="expression" dxfId="437" priority="403" stopIfTrue="1">
      <formula>ISERROR</formula>
    </cfRule>
  </conditionalFormatting>
  <conditionalFormatting sqref="I29:J29">
    <cfRule type="cellIs" dxfId="436" priority="402" stopIfTrue="1" operator="equal">
      <formula>0</formula>
    </cfRule>
  </conditionalFormatting>
  <conditionalFormatting sqref="N30:Y30 L30 D30:J30">
    <cfRule type="cellIs" dxfId="435" priority="400" stopIfTrue="1" operator="equal">
      <formula>0</formula>
    </cfRule>
  </conditionalFormatting>
  <conditionalFormatting sqref="E30:K30 M30">
    <cfRule type="expression" dxfId="434" priority="399" stopIfTrue="1">
      <formula>ISERROR</formula>
    </cfRule>
  </conditionalFormatting>
  <conditionalFormatting sqref="M30 K30 C30">
    <cfRule type="cellIs" dxfId="433" priority="401" stopIfTrue="1" operator="equal">
      <formula>0</formula>
    </cfRule>
  </conditionalFormatting>
  <conditionalFormatting sqref="L30">
    <cfRule type="expression" dxfId="432" priority="398" stopIfTrue="1">
      <formula>ISERROR</formula>
    </cfRule>
  </conditionalFormatting>
  <conditionalFormatting sqref="I30">
    <cfRule type="expression" dxfId="431" priority="397" stopIfTrue="1">
      <formula>ISERROR</formula>
    </cfRule>
  </conditionalFormatting>
  <conditionalFormatting sqref="N31:Y31 L31 D31:H31 J31">
    <cfRule type="cellIs" dxfId="430" priority="395" stopIfTrue="1" operator="equal">
      <formula>0</formula>
    </cfRule>
  </conditionalFormatting>
  <conditionalFormatting sqref="M31">
    <cfRule type="expression" dxfId="429" priority="394" stopIfTrue="1">
      <formula>ISERROR</formula>
    </cfRule>
  </conditionalFormatting>
  <conditionalFormatting sqref="J31">
    <cfRule type="expression" dxfId="428" priority="393" stopIfTrue="1">
      <formula>ISERROR</formula>
    </cfRule>
  </conditionalFormatting>
  <conditionalFormatting sqref="M31 C31">
    <cfRule type="cellIs" dxfId="427" priority="396" stopIfTrue="1" operator="equal">
      <formula>0</formula>
    </cfRule>
  </conditionalFormatting>
  <conditionalFormatting sqref="L31">
    <cfRule type="expression" dxfId="426" priority="392" stopIfTrue="1">
      <formula>ISERROR</formula>
    </cfRule>
  </conditionalFormatting>
  <conditionalFormatting sqref="I31">
    <cfRule type="expression" dxfId="425" priority="391" stopIfTrue="1">
      <formula>ISERROR</formula>
    </cfRule>
  </conditionalFormatting>
  <conditionalFormatting sqref="I31">
    <cfRule type="cellIs" dxfId="424" priority="390" stopIfTrue="1" operator="equal">
      <formula>0</formula>
    </cfRule>
  </conditionalFormatting>
  <conditionalFormatting sqref="I31">
    <cfRule type="cellIs" dxfId="423" priority="389" stopIfTrue="1" operator="equal">
      <formula>0</formula>
    </cfRule>
  </conditionalFormatting>
  <conditionalFormatting sqref="D32:H32 J32:Y32">
    <cfRule type="cellIs" dxfId="422" priority="387" stopIfTrue="1" operator="equal">
      <formula>0</formula>
    </cfRule>
  </conditionalFormatting>
  <conditionalFormatting sqref="M32 E32:H32 J32:K32">
    <cfRule type="expression" dxfId="421" priority="386" stopIfTrue="1">
      <formula>ISERROR</formula>
    </cfRule>
  </conditionalFormatting>
  <conditionalFormatting sqref="C32">
    <cfRule type="cellIs" dxfId="420" priority="388" stopIfTrue="1" operator="equal">
      <formula>0</formula>
    </cfRule>
  </conditionalFormatting>
  <conditionalFormatting sqref="L32">
    <cfRule type="expression" dxfId="419" priority="385" stopIfTrue="1">
      <formula>ISERROR</formula>
    </cfRule>
  </conditionalFormatting>
  <conditionalFormatting sqref="I32">
    <cfRule type="expression" dxfId="418" priority="384" stopIfTrue="1">
      <formula>ISERROR</formula>
    </cfRule>
  </conditionalFormatting>
  <conditionalFormatting sqref="I32">
    <cfRule type="cellIs" dxfId="417" priority="383" stopIfTrue="1" operator="equal">
      <formula>0</formula>
    </cfRule>
  </conditionalFormatting>
  <conditionalFormatting sqref="I32">
    <cfRule type="cellIs" dxfId="416" priority="382" stopIfTrue="1" operator="equal">
      <formula>0</formula>
    </cfRule>
  </conditionalFormatting>
  <conditionalFormatting sqref="D33:H33 J33:Y33">
    <cfRule type="cellIs" dxfId="415" priority="380" stopIfTrue="1" operator="equal">
      <formula>0</formula>
    </cfRule>
  </conditionalFormatting>
  <conditionalFormatting sqref="M33 E33:H33 J33:K33">
    <cfRule type="expression" dxfId="414" priority="379" stopIfTrue="1">
      <formula>ISERROR</formula>
    </cfRule>
  </conditionalFormatting>
  <conditionalFormatting sqref="C33">
    <cfRule type="cellIs" dxfId="413" priority="381" stopIfTrue="1" operator="equal">
      <formula>0</formula>
    </cfRule>
  </conditionalFormatting>
  <conditionalFormatting sqref="L33">
    <cfRule type="expression" dxfId="412" priority="378" stopIfTrue="1">
      <formula>ISERROR</formula>
    </cfRule>
  </conditionalFormatting>
  <conditionalFormatting sqref="I33">
    <cfRule type="expression" dxfId="411" priority="377" stopIfTrue="1">
      <formula>ISERROR</formula>
    </cfRule>
  </conditionalFormatting>
  <conditionalFormatting sqref="I33">
    <cfRule type="cellIs" dxfId="410" priority="376" stopIfTrue="1" operator="equal">
      <formula>0</formula>
    </cfRule>
  </conditionalFormatting>
  <conditionalFormatting sqref="I33">
    <cfRule type="cellIs" dxfId="409" priority="375" stopIfTrue="1" operator="equal">
      <formula>0</formula>
    </cfRule>
  </conditionalFormatting>
  <conditionalFormatting sqref="K34:Y34 D34:H34">
    <cfRule type="cellIs" dxfId="408" priority="373" stopIfTrue="1" operator="equal">
      <formula>0</formula>
    </cfRule>
  </conditionalFormatting>
  <conditionalFormatting sqref="E34:H34 K34:M34">
    <cfRule type="expression" dxfId="407" priority="372" stopIfTrue="1">
      <formula>ISERROR</formula>
    </cfRule>
  </conditionalFormatting>
  <conditionalFormatting sqref="C34">
    <cfRule type="cellIs" dxfId="406" priority="374" stopIfTrue="1" operator="equal">
      <formula>0</formula>
    </cfRule>
  </conditionalFormatting>
  <conditionalFormatting sqref="L34">
    <cfRule type="cellIs" dxfId="405" priority="371" stopIfTrue="1" operator="equal">
      <formula>0</formula>
    </cfRule>
  </conditionalFormatting>
  <conditionalFormatting sqref="I34:J34">
    <cfRule type="expression" dxfId="404" priority="370" stopIfTrue="1">
      <formula>ISERROR</formula>
    </cfRule>
  </conditionalFormatting>
  <conditionalFormatting sqref="I34:J34">
    <cfRule type="cellIs" dxfId="403" priority="369" stopIfTrue="1" operator="equal">
      <formula>0</formula>
    </cfRule>
  </conditionalFormatting>
  <conditionalFormatting sqref="D35:Y35">
    <cfRule type="cellIs" dxfId="402" priority="367" stopIfTrue="1" operator="equal">
      <formula>0</formula>
    </cfRule>
  </conditionalFormatting>
  <conditionalFormatting sqref="E35:M35">
    <cfRule type="expression" dxfId="401" priority="366" stopIfTrue="1">
      <formula>ISERROR</formula>
    </cfRule>
  </conditionalFormatting>
  <conditionalFormatting sqref="C35">
    <cfRule type="cellIs" dxfId="400" priority="368" stopIfTrue="1" operator="equal">
      <formula>0</formula>
    </cfRule>
  </conditionalFormatting>
  <conditionalFormatting sqref="L35">
    <cfRule type="cellIs" dxfId="399" priority="365" stopIfTrue="1" operator="equal">
      <formula>0</formula>
    </cfRule>
  </conditionalFormatting>
  <conditionalFormatting sqref="L35">
    <cfRule type="expression" dxfId="398" priority="364" stopIfTrue="1">
      <formula>ISERROR</formula>
    </cfRule>
  </conditionalFormatting>
  <conditionalFormatting sqref="I35">
    <cfRule type="expression" dxfId="397" priority="363" stopIfTrue="1">
      <formula>ISERROR</formula>
    </cfRule>
  </conditionalFormatting>
  <conditionalFormatting sqref="N36:Y36 L36">
    <cfRule type="cellIs" dxfId="396" priority="361" stopIfTrue="1" operator="equal">
      <formula>0</formula>
    </cfRule>
  </conditionalFormatting>
  <conditionalFormatting sqref="E36:H36 K36:M36">
    <cfRule type="expression" dxfId="395" priority="358" stopIfTrue="1">
      <formula>ISERROR</formula>
    </cfRule>
  </conditionalFormatting>
  <conditionalFormatting sqref="L36">
    <cfRule type="expression" dxfId="394" priority="360" stopIfTrue="1">
      <formula>ISERROR</formula>
    </cfRule>
  </conditionalFormatting>
  <conditionalFormatting sqref="K36:M36 C36">
    <cfRule type="cellIs" dxfId="393" priority="362" stopIfTrue="1" operator="equal">
      <formula>0</formula>
    </cfRule>
  </conditionalFormatting>
  <conditionalFormatting sqref="D36:H36 L36">
    <cfRule type="cellIs" dxfId="392" priority="359" stopIfTrue="1" operator="equal">
      <formula>0</formula>
    </cfRule>
  </conditionalFormatting>
  <conditionalFormatting sqref="L36">
    <cfRule type="expression" dxfId="391" priority="357" stopIfTrue="1">
      <formula>ISERROR</formula>
    </cfRule>
  </conditionalFormatting>
  <conditionalFormatting sqref="I36">
    <cfRule type="expression" dxfId="390" priority="356" stopIfTrue="1">
      <formula>ISERROR</formula>
    </cfRule>
  </conditionalFormatting>
  <conditionalFormatting sqref="I36">
    <cfRule type="cellIs" dxfId="389" priority="355" stopIfTrue="1" operator="equal">
      <formula>0</formula>
    </cfRule>
  </conditionalFormatting>
  <conditionalFormatting sqref="I36">
    <cfRule type="cellIs" dxfId="388" priority="354" stopIfTrue="1" operator="equal">
      <formula>0</formula>
    </cfRule>
  </conditionalFormatting>
  <conditionalFormatting sqref="N37:Y37 L37">
    <cfRule type="cellIs" dxfId="387" priority="352" stopIfTrue="1" operator="equal">
      <formula>0</formula>
    </cfRule>
  </conditionalFormatting>
  <conditionalFormatting sqref="L37">
    <cfRule type="expression" dxfId="386" priority="349" stopIfTrue="1">
      <formula>ISERROR</formula>
    </cfRule>
  </conditionalFormatting>
  <conditionalFormatting sqref="L37">
    <cfRule type="expression" dxfId="385" priority="351" stopIfTrue="1">
      <formula>ISERROR</formula>
    </cfRule>
  </conditionalFormatting>
  <conditionalFormatting sqref="E37:H37 J37:M37">
    <cfRule type="expression" dxfId="384" priority="348" stopIfTrue="1">
      <formula>ISERROR</formula>
    </cfRule>
  </conditionalFormatting>
  <conditionalFormatting sqref="C37:H37 J37:M37">
    <cfRule type="cellIs" dxfId="383" priority="353" stopIfTrue="1" operator="equal">
      <formula>0</formula>
    </cfRule>
  </conditionalFormatting>
  <conditionalFormatting sqref="L37">
    <cfRule type="cellIs" dxfId="382" priority="350" stopIfTrue="1" operator="equal">
      <formula>0</formula>
    </cfRule>
  </conditionalFormatting>
  <conditionalFormatting sqref="L37">
    <cfRule type="expression" dxfId="381" priority="347" stopIfTrue="1">
      <formula>ISERROR</formula>
    </cfRule>
  </conditionalFormatting>
  <conditionalFormatting sqref="I37">
    <cfRule type="expression" dxfId="380" priority="346" stopIfTrue="1">
      <formula>ISERROR</formula>
    </cfRule>
  </conditionalFormatting>
  <conditionalFormatting sqref="I37">
    <cfRule type="cellIs" dxfId="379" priority="345" stopIfTrue="1" operator="equal">
      <formula>0</formula>
    </cfRule>
  </conditionalFormatting>
  <conditionalFormatting sqref="C38 E38:F38 I38:M38">
    <cfRule type="expression" dxfId="378" priority="344" stopIfTrue="1">
      <formula>ISERROR</formula>
    </cfRule>
  </conditionalFormatting>
  <conditionalFormatting sqref="N38:Y38">
    <cfRule type="cellIs" dxfId="377" priority="342" stopIfTrue="1" operator="equal">
      <formula>0</formula>
    </cfRule>
  </conditionalFormatting>
  <conditionalFormatting sqref="C38:M38">
    <cfRule type="cellIs" dxfId="376" priority="343" stopIfTrue="1" operator="equal">
      <formula>0</formula>
    </cfRule>
  </conditionalFormatting>
  <conditionalFormatting sqref="L38">
    <cfRule type="cellIs" dxfId="375" priority="341" stopIfTrue="1" operator="equal">
      <formula>0</formula>
    </cfRule>
  </conditionalFormatting>
  <conditionalFormatting sqref="L38">
    <cfRule type="expression" dxfId="374" priority="340" stopIfTrue="1">
      <formula>ISERROR</formula>
    </cfRule>
  </conditionalFormatting>
  <conditionalFormatting sqref="G38:H38">
    <cfRule type="expression" dxfId="373" priority="339" stopIfTrue="1">
      <formula>ISERROR</formula>
    </cfRule>
  </conditionalFormatting>
  <conditionalFormatting sqref="C39 E39:F39 I39:M39">
    <cfRule type="expression" dxfId="372" priority="338" stopIfTrue="1">
      <formula>ISERROR</formula>
    </cfRule>
  </conditionalFormatting>
  <conditionalFormatting sqref="N39:Y39">
    <cfRule type="cellIs" dxfId="371" priority="336" stopIfTrue="1" operator="equal">
      <formula>0</formula>
    </cfRule>
  </conditionalFormatting>
  <conditionalFormatting sqref="C39:M39">
    <cfRule type="cellIs" dxfId="370" priority="337" stopIfTrue="1" operator="equal">
      <formula>0</formula>
    </cfRule>
  </conditionalFormatting>
  <conditionalFormatting sqref="L39">
    <cfRule type="cellIs" dxfId="369" priority="335" stopIfTrue="1" operator="equal">
      <formula>0</formula>
    </cfRule>
  </conditionalFormatting>
  <conditionalFormatting sqref="L39">
    <cfRule type="expression" dxfId="368" priority="334" stopIfTrue="1">
      <formula>ISERROR</formula>
    </cfRule>
  </conditionalFormatting>
  <conditionalFormatting sqref="G39:H39">
    <cfRule type="expression" dxfId="367" priority="333" stopIfTrue="1">
      <formula>ISERROR</formula>
    </cfRule>
  </conditionalFormatting>
  <conditionalFormatting sqref="X40:Y40">
    <cfRule type="cellIs" dxfId="366" priority="332" stopIfTrue="1" operator="equal">
      <formula>0</formula>
    </cfRule>
  </conditionalFormatting>
  <conditionalFormatting sqref="C40 E40:M40">
    <cfRule type="expression" dxfId="365" priority="331" stopIfTrue="1">
      <formula>ISERROR</formula>
    </cfRule>
  </conditionalFormatting>
  <conditionalFormatting sqref="C40:W40">
    <cfRule type="cellIs" dxfId="364" priority="330" stopIfTrue="1" operator="equal">
      <formula>0</formula>
    </cfRule>
  </conditionalFormatting>
  <conditionalFormatting sqref="L40">
    <cfRule type="expression" dxfId="363" priority="329" stopIfTrue="1">
      <formula>ISERROR</formula>
    </cfRule>
  </conditionalFormatting>
  <conditionalFormatting sqref="X41:Y41">
    <cfRule type="cellIs" dxfId="362" priority="328" stopIfTrue="1" operator="equal">
      <formula>0</formula>
    </cfRule>
  </conditionalFormatting>
  <conditionalFormatting sqref="C41 E41:M41">
    <cfRule type="expression" dxfId="361" priority="327" stopIfTrue="1">
      <formula>ISERROR</formula>
    </cfRule>
  </conditionalFormatting>
  <conditionalFormatting sqref="C41:W41">
    <cfRule type="cellIs" dxfId="360" priority="326" stopIfTrue="1" operator="equal">
      <formula>0</formula>
    </cfRule>
  </conditionalFormatting>
  <conditionalFormatting sqref="L41">
    <cfRule type="expression" dxfId="359" priority="325" stopIfTrue="1">
      <formula>ISERROR</formula>
    </cfRule>
  </conditionalFormatting>
  <conditionalFormatting sqref="X42:Y42">
    <cfRule type="cellIs" dxfId="358" priority="324" stopIfTrue="1" operator="equal">
      <formula>0</formula>
    </cfRule>
  </conditionalFormatting>
  <conditionalFormatting sqref="L42">
    <cfRule type="expression" dxfId="357" priority="323" stopIfTrue="1">
      <formula>ISERROR</formula>
    </cfRule>
  </conditionalFormatting>
  <conditionalFormatting sqref="L42">
    <cfRule type="cellIs" dxfId="356" priority="322" stopIfTrue="1" operator="equal">
      <formula>0</formula>
    </cfRule>
  </conditionalFormatting>
  <conditionalFormatting sqref="L42">
    <cfRule type="expression" dxfId="355" priority="321" stopIfTrue="1">
      <formula>ISERROR</formula>
    </cfRule>
  </conditionalFormatting>
  <conditionalFormatting sqref="C42 E42:K42 M42">
    <cfRule type="expression" dxfId="354" priority="320" stopIfTrue="1">
      <formula>ISERROR</formula>
    </cfRule>
  </conditionalFormatting>
  <conditionalFormatting sqref="C42:K42 M42:W42">
    <cfRule type="cellIs" dxfId="353" priority="319" stopIfTrue="1" operator="equal">
      <formula>0</formula>
    </cfRule>
  </conditionalFormatting>
  <conditionalFormatting sqref="C43 E43:K43 M43">
    <cfRule type="expression" dxfId="352" priority="318" stopIfTrue="1">
      <formula>ISERROR</formula>
    </cfRule>
  </conditionalFormatting>
  <conditionalFormatting sqref="C43:K43 M43:Y43">
    <cfRule type="cellIs" dxfId="351" priority="317" stopIfTrue="1" operator="equal">
      <formula>0</formula>
    </cfRule>
  </conditionalFormatting>
  <conditionalFormatting sqref="L43">
    <cfRule type="expression" dxfId="350" priority="316" stopIfTrue="1">
      <formula>ISERROR</formula>
    </cfRule>
  </conditionalFormatting>
  <conditionalFormatting sqref="L43">
    <cfRule type="cellIs" dxfId="349" priority="315" stopIfTrue="1" operator="equal">
      <formula>0</formula>
    </cfRule>
  </conditionalFormatting>
  <conditionalFormatting sqref="L43">
    <cfRule type="expression" dxfId="348" priority="314" stopIfTrue="1">
      <formula>ISERROR</formula>
    </cfRule>
  </conditionalFormatting>
  <conditionalFormatting sqref="C44 E44:K44 M44">
    <cfRule type="expression" dxfId="347" priority="313" stopIfTrue="1">
      <formula>ISERROR</formula>
    </cfRule>
  </conditionalFormatting>
  <conditionalFormatting sqref="C44:K44 M44:Y44">
    <cfRule type="cellIs" dxfId="346" priority="312" stopIfTrue="1" operator="equal">
      <formula>0</formula>
    </cfRule>
  </conditionalFormatting>
  <conditionalFormatting sqref="L44">
    <cfRule type="expression" dxfId="345" priority="311" stopIfTrue="1">
      <formula>ISERROR</formula>
    </cfRule>
  </conditionalFormatting>
  <conditionalFormatting sqref="L44">
    <cfRule type="cellIs" dxfId="344" priority="310" stopIfTrue="1" operator="equal">
      <formula>0</formula>
    </cfRule>
  </conditionalFormatting>
  <conditionalFormatting sqref="L44">
    <cfRule type="expression" dxfId="343" priority="309" stopIfTrue="1">
      <formula>ISERROR</formula>
    </cfRule>
  </conditionalFormatting>
  <conditionalFormatting sqref="C45 E45:K45 M45">
    <cfRule type="expression" dxfId="342" priority="308" stopIfTrue="1">
      <formula>ISERROR</formula>
    </cfRule>
  </conditionalFormatting>
  <conditionalFormatting sqref="C45:K45 M45:Y45">
    <cfRule type="cellIs" dxfId="341" priority="307" stopIfTrue="1" operator="equal">
      <formula>0</formula>
    </cfRule>
  </conditionalFormatting>
  <conditionalFormatting sqref="L45">
    <cfRule type="expression" dxfId="340" priority="306" stopIfTrue="1">
      <formula>ISERROR</formula>
    </cfRule>
  </conditionalFormatting>
  <conditionalFormatting sqref="L45">
    <cfRule type="cellIs" dxfId="339" priority="305" stopIfTrue="1" operator="equal">
      <formula>0</formula>
    </cfRule>
  </conditionalFormatting>
  <conditionalFormatting sqref="L45">
    <cfRule type="expression" dxfId="338" priority="304" stopIfTrue="1">
      <formula>ISERROR</formula>
    </cfRule>
  </conditionalFormatting>
  <conditionalFormatting sqref="C46 E46:K46 M46">
    <cfRule type="expression" dxfId="337" priority="303" stopIfTrue="1">
      <formula>ISERROR</formula>
    </cfRule>
  </conditionalFormatting>
  <conditionalFormatting sqref="C46:K46 M46:Y46">
    <cfRule type="cellIs" dxfId="336" priority="302" stopIfTrue="1" operator="equal">
      <formula>0</formula>
    </cfRule>
  </conditionalFormatting>
  <conditionalFormatting sqref="L46">
    <cfRule type="expression" dxfId="335" priority="301" stopIfTrue="1">
      <formula>ISERROR</formula>
    </cfRule>
  </conditionalFormatting>
  <conditionalFormatting sqref="L46">
    <cfRule type="cellIs" dxfId="334" priority="300" stopIfTrue="1" operator="equal">
      <formula>0</formula>
    </cfRule>
  </conditionalFormatting>
  <conditionalFormatting sqref="L46">
    <cfRule type="expression" dxfId="333" priority="299" stopIfTrue="1">
      <formula>ISERROR</formula>
    </cfRule>
  </conditionalFormatting>
  <conditionalFormatting sqref="E47:J47 C47 L47:M47">
    <cfRule type="expression" dxfId="332" priority="298" stopIfTrue="1">
      <formula>ISERROR</formula>
    </cfRule>
  </conditionalFormatting>
  <conditionalFormatting sqref="C47:J47 L47:Y47">
    <cfRule type="cellIs" dxfId="331" priority="297" stopIfTrue="1" operator="equal">
      <formula>0</formula>
    </cfRule>
  </conditionalFormatting>
  <conditionalFormatting sqref="L47">
    <cfRule type="expression" dxfId="330" priority="293" stopIfTrue="1">
      <formula>ISERROR</formula>
    </cfRule>
  </conditionalFormatting>
  <conditionalFormatting sqref="L47">
    <cfRule type="expression" dxfId="329" priority="295" stopIfTrue="1">
      <formula>ISERROR</formula>
    </cfRule>
  </conditionalFormatting>
  <conditionalFormatting sqref="L47">
    <cfRule type="cellIs" dxfId="328" priority="296" stopIfTrue="1" operator="equal">
      <formula>0</formula>
    </cfRule>
  </conditionalFormatting>
  <conditionalFormatting sqref="L47">
    <cfRule type="cellIs" dxfId="327" priority="294" stopIfTrue="1" operator="equal">
      <formula>0</formula>
    </cfRule>
  </conditionalFormatting>
  <conditionalFormatting sqref="L47">
    <cfRule type="expression" dxfId="326" priority="292" stopIfTrue="1">
      <formula>ISERROR</formula>
    </cfRule>
  </conditionalFormatting>
  <conditionalFormatting sqref="K47">
    <cfRule type="cellIs" dxfId="325" priority="290" stopIfTrue="1" operator="equal">
      <formula>0</formula>
    </cfRule>
  </conditionalFormatting>
  <conditionalFormatting sqref="K47">
    <cfRule type="expression" dxfId="324" priority="291" stopIfTrue="1">
      <formula>ISERROR</formula>
    </cfRule>
  </conditionalFormatting>
  <conditionalFormatting sqref="X48:Y48">
    <cfRule type="cellIs" dxfId="323" priority="289" stopIfTrue="1" operator="equal">
      <formula>0</formula>
    </cfRule>
  </conditionalFormatting>
  <conditionalFormatting sqref="C48 M48 E48:K48">
    <cfRule type="expression" dxfId="322" priority="288" stopIfTrue="1">
      <formula>ISERROR</formula>
    </cfRule>
  </conditionalFormatting>
  <conditionalFormatting sqref="M48:W48 C48:K48">
    <cfRule type="cellIs" dxfId="321" priority="287" stopIfTrue="1" operator="equal">
      <formula>0</formula>
    </cfRule>
  </conditionalFormatting>
  <conditionalFormatting sqref="L48">
    <cfRule type="expression" dxfId="320" priority="286" stopIfTrue="1">
      <formula>ISERROR</formula>
    </cfRule>
  </conditionalFormatting>
  <conditionalFormatting sqref="L48">
    <cfRule type="cellIs" dxfId="319" priority="285" stopIfTrue="1" operator="equal">
      <formula>0</formula>
    </cfRule>
  </conditionalFormatting>
  <conditionalFormatting sqref="L48">
    <cfRule type="expression" dxfId="318" priority="284" stopIfTrue="1">
      <formula>ISERROR</formula>
    </cfRule>
  </conditionalFormatting>
  <conditionalFormatting sqref="C49">
    <cfRule type="expression" dxfId="317" priority="283" stopIfTrue="1">
      <formula>ISERROR</formula>
    </cfRule>
  </conditionalFormatting>
  <conditionalFormatting sqref="X49:Y49">
    <cfRule type="cellIs" dxfId="316" priority="281" stopIfTrue="1" operator="equal">
      <formula>0</formula>
    </cfRule>
  </conditionalFormatting>
  <conditionalFormatting sqref="D49">
    <cfRule type="cellIs" dxfId="315" priority="282" stopIfTrue="1" operator="equal">
      <formula>0</formula>
    </cfRule>
  </conditionalFormatting>
  <conditionalFormatting sqref="M49 E49:F49">
    <cfRule type="expression" dxfId="314" priority="280" stopIfTrue="1">
      <formula>ISERROR</formula>
    </cfRule>
  </conditionalFormatting>
  <conditionalFormatting sqref="E49:F49 M49:W49">
    <cfRule type="cellIs" dxfId="313" priority="279" stopIfTrue="1" operator="equal">
      <formula>0</formula>
    </cfRule>
  </conditionalFormatting>
  <conditionalFormatting sqref="C49">
    <cfRule type="cellIs" dxfId="312" priority="278" stopIfTrue="1" operator="equal">
      <formula>0</formula>
    </cfRule>
  </conditionalFormatting>
  <conditionalFormatting sqref="L49">
    <cfRule type="expression" dxfId="311" priority="277" stopIfTrue="1">
      <formula>ISERROR</formula>
    </cfRule>
  </conditionalFormatting>
  <conditionalFormatting sqref="L49">
    <cfRule type="cellIs" dxfId="310" priority="276" stopIfTrue="1" operator="equal">
      <formula>0</formula>
    </cfRule>
  </conditionalFormatting>
  <conditionalFormatting sqref="G49:K49">
    <cfRule type="expression" dxfId="309" priority="275" stopIfTrue="1">
      <formula>ISERROR</formula>
    </cfRule>
  </conditionalFormatting>
  <conditionalFormatting sqref="G49:K49">
    <cfRule type="cellIs" dxfId="308" priority="274" stopIfTrue="1" operator="equal">
      <formula>0</formula>
    </cfRule>
  </conditionalFormatting>
  <conditionalFormatting sqref="E50:M50 C50">
    <cfRule type="expression" dxfId="307" priority="273" stopIfTrue="1">
      <formula>ISERROR</formula>
    </cfRule>
  </conditionalFormatting>
  <conditionalFormatting sqref="C50:Y50">
    <cfRule type="cellIs" dxfId="306" priority="272" stopIfTrue="1" operator="equal">
      <formula>0</formula>
    </cfRule>
  </conditionalFormatting>
  <conditionalFormatting sqref="E51:M51 C51">
    <cfRule type="expression" dxfId="305" priority="271" stopIfTrue="1">
      <formula>ISERROR</formula>
    </cfRule>
  </conditionalFormatting>
  <conditionalFormatting sqref="C51:Y51">
    <cfRule type="cellIs" dxfId="304" priority="270" stopIfTrue="1" operator="equal">
      <formula>0</formula>
    </cfRule>
  </conditionalFormatting>
  <conditionalFormatting sqref="E52:M52 C52">
    <cfRule type="expression" dxfId="303" priority="269" stopIfTrue="1">
      <formula>ISERROR</formula>
    </cfRule>
  </conditionalFormatting>
  <conditionalFormatting sqref="C52:Y52">
    <cfRule type="cellIs" dxfId="302" priority="268" stopIfTrue="1" operator="equal">
      <formula>0</formula>
    </cfRule>
  </conditionalFormatting>
  <conditionalFormatting sqref="L52">
    <cfRule type="cellIs" dxfId="301" priority="267" stopIfTrue="1" operator="equal">
      <formula>0</formula>
    </cfRule>
  </conditionalFormatting>
  <conditionalFormatting sqref="L52">
    <cfRule type="cellIs" dxfId="300" priority="266" stopIfTrue="1" operator="equal">
      <formula>0</formula>
    </cfRule>
  </conditionalFormatting>
  <conditionalFormatting sqref="L52">
    <cfRule type="expression" dxfId="299" priority="265" stopIfTrue="1">
      <formula>ISERROR</formula>
    </cfRule>
  </conditionalFormatting>
  <conditionalFormatting sqref="E53:M53 C53">
    <cfRule type="expression" dxfId="298" priority="264" stopIfTrue="1">
      <formula>ISERROR</formula>
    </cfRule>
  </conditionalFormatting>
  <conditionalFormatting sqref="C53:Y53">
    <cfRule type="cellIs" dxfId="297" priority="263" stopIfTrue="1" operator="equal">
      <formula>0</formula>
    </cfRule>
  </conditionalFormatting>
  <conditionalFormatting sqref="E54:M54 C54">
    <cfRule type="expression" dxfId="296" priority="262" stopIfTrue="1">
      <formula>ISERROR</formula>
    </cfRule>
  </conditionalFormatting>
  <conditionalFormatting sqref="C54:Y54">
    <cfRule type="cellIs" dxfId="295" priority="261" stopIfTrue="1" operator="equal">
      <formula>0</formula>
    </cfRule>
  </conditionalFormatting>
  <conditionalFormatting sqref="E55:K55 M55 C55">
    <cfRule type="expression" dxfId="294" priority="260" stopIfTrue="1">
      <formula>ISERROR</formula>
    </cfRule>
  </conditionalFormatting>
  <conditionalFormatting sqref="C55:K55 M55:Y55">
    <cfRule type="cellIs" dxfId="293" priority="259" stopIfTrue="1" operator="equal">
      <formula>0</formula>
    </cfRule>
  </conditionalFormatting>
  <conditionalFormatting sqref="L55">
    <cfRule type="expression" dxfId="292" priority="258" stopIfTrue="1">
      <formula>ISERROR</formula>
    </cfRule>
  </conditionalFormatting>
  <conditionalFormatting sqref="L55">
    <cfRule type="cellIs" dxfId="291" priority="257" stopIfTrue="1" operator="equal">
      <formula>0</formula>
    </cfRule>
  </conditionalFormatting>
  <conditionalFormatting sqref="L55">
    <cfRule type="expression" dxfId="290" priority="256" stopIfTrue="1">
      <formula>ISERROR</formula>
    </cfRule>
  </conditionalFormatting>
  <conditionalFormatting sqref="E56:M56 C56">
    <cfRule type="expression" dxfId="289" priority="255" stopIfTrue="1">
      <formula>ISERROR</formula>
    </cfRule>
  </conditionalFormatting>
  <conditionalFormatting sqref="C56:Y56">
    <cfRule type="cellIs" dxfId="288" priority="254" stopIfTrue="1" operator="equal">
      <formula>0</formula>
    </cfRule>
  </conditionalFormatting>
  <conditionalFormatting sqref="E57:M57 C57">
    <cfRule type="expression" dxfId="287" priority="253" stopIfTrue="1">
      <formula>ISERROR</formula>
    </cfRule>
  </conditionalFormatting>
  <conditionalFormatting sqref="C57:Y57">
    <cfRule type="cellIs" dxfId="286" priority="252" stopIfTrue="1" operator="equal">
      <formula>0</formula>
    </cfRule>
  </conditionalFormatting>
  <conditionalFormatting sqref="E58:M58 C58">
    <cfRule type="expression" dxfId="285" priority="251" stopIfTrue="1">
      <formula>ISERROR</formula>
    </cfRule>
  </conditionalFormatting>
  <conditionalFormatting sqref="C58:Y58">
    <cfRule type="cellIs" dxfId="284" priority="250" stopIfTrue="1" operator="equal">
      <formula>0</formula>
    </cfRule>
  </conditionalFormatting>
  <conditionalFormatting sqref="E59:K59 M59 C59">
    <cfRule type="expression" dxfId="283" priority="249" stopIfTrue="1">
      <formula>ISERROR</formula>
    </cfRule>
  </conditionalFormatting>
  <conditionalFormatting sqref="C59:K59 M59:Y59">
    <cfRule type="cellIs" dxfId="282" priority="248" stopIfTrue="1" operator="equal">
      <formula>0</formula>
    </cfRule>
  </conditionalFormatting>
  <conditionalFormatting sqref="L59">
    <cfRule type="expression" dxfId="281" priority="247" stopIfTrue="1">
      <formula>ISERROR</formula>
    </cfRule>
  </conditionalFormatting>
  <conditionalFormatting sqref="L59">
    <cfRule type="cellIs" dxfId="280" priority="246" stopIfTrue="1" operator="equal">
      <formula>0</formula>
    </cfRule>
  </conditionalFormatting>
  <conditionalFormatting sqref="L59">
    <cfRule type="expression" dxfId="279" priority="245" stopIfTrue="1">
      <formula>ISERROR</formula>
    </cfRule>
  </conditionalFormatting>
  <conditionalFormatting sqref="E60:K60 M60 C60">
    <cfRule type="expression" dxfId="278" priority="244" stopIfTrue="1">
      <formula>ISERROR</formula>
    </cfRule>
  </conditionalFormatting>
  <conditionalFormatting sqref="C60:K60 M60:Y60">
    <cfRule type="cellIs" dxfId="277" priority="243" stopIfTrue="1" operator="equal">
      <formula>0</formula>
    </cfRule>
  </conditionalFormatting>
  <conditionalFormatting sqref="L60">
    <cfRule type="expression" dxfId="276" priority="242" stopIfTrue="1">
      <formula>ISERROR</formula>
    </cfRule>
  </conditionalFormatting>
  <conditionalFormatting sqref="L60">
    <cfRule type="cellIs" dxfId="275" priority="241" stopIfTrue="1" operator="equal">
      <formula>0</formula>
    </cfRule>
  </conditionalFormatting>
  <conditionalFormatting sqref="L60">
    <cfRule type="expression" dxfId="274" priority="240" stopIfTrue="1">
      <formula>ISERROR</formula>
    </cfRule>
  </conditionalFormatting>
  <conditionalFormatting sqref="E61:K61 M61 C61">
    <cfRule type="expression" dxfId="273" priority="239" stopIfTrue="1">
      <formula>ISERROR</formula>
    </cfRule>
  </conditionalFormatting>
  <conditionalFormatting sqref="C61:K61 M61:Y61">
    <cfRule type="cellIs" dxfId="272" priority="238" stopIfTrue="1" operator="equal">
      <formula>0</formula>
    </cfRule>
  </conditionalFormatting>
  <conditionalFormatting sqref="L61">
    <cfRule type="expression" dxfId="271" priority="237" stopIfTrue="1">
      <formula>ISERROR</formula>
    </cfRule>
  </conditionalFormatting>
  <conditionalFormatting sqref="L61">
    <cfRule type="cellIs" dxfId="270" priority="236" stopIfTrue="1" operator="equal">
      <formula>0</formula>
    </cfRule>
  </conditionalFormatting>
  <conditionalFormatting sqref="L61">
    <cfRule type="expression" dxfId="269" priority="235" stopIfTrue="1">
      <formula>ISERROR</formula>
    </cfRule>
  </conditionalFormatting>
  <conditionalFormatting sqref="E62:K62 M62 C62">
    <cfRule type="expression" dxfId="268" priority="234" stopIfTrue="1">
      <formula>ISERROR</formula>
    </cfRule>
  </conditionalFormatting>
  <conditionalFormatting sqref="C62:K62 M62:Y62">
    <cfRule type="cellIs" dxfId="267" priority="233" stopIfTrue="1" operator="equal">
      <formula>0</formula>
    </cfRule>
  </conditionalFormatting>
  <conditionalFormatting sqref="L62">
    <cfRule type="expression" dxfId="266" priority="232" stopIfTrue="1">
      <formula>ISERROR</formula>
    </cfRule>
  </conditionalFormatting>
  <conditionalFormatting sqref="L62">
    <cfRule type="cellIs" dxfId="265" priority="231" stopIfTrue="1" operator="equal">
      <formula>0</formula>
    </cfRule>
  </conditionalFormatting>
  <conditionalFormatting sqref="L62">
    <cfRule type="expression" dxfId="264" priority="230" stopIfTrue="1">
      <formula>ISERROR</formula>
    </cfRule>
  </conditionalFormatting>
  <conditionalFormatting sqref="E63:M63 C63">
    <cfRule type="expression" dxfId="263" priority="229" stopIfTrue="1">
      <formula>ISERROR</formula>
    </cfRule>
  </conditionalFormatting>
  <conditionalFormatting sqref="C63:Y63">
    <cfRule type="cellIs" dxfId="262" priority="228" stopIfTrue="1" operator="equal">
      <formula>0</formula>
    </cfRule>
  </conditionalFormatting>
  <conditionalFormatting sqref="E64:K64 M64 C64">
    <cfRule type="expression" dxfId="261" priority="227" stopIfTrue="1">
      <formula>ISERROR</formula>
    </cfRule>
  </conditionalFormatting>
  <conditionalFormatting sqref="C64:K64 M64:Y64">
    <cfRule type="cellIs" dxfId="260" priority="226" stopIfTrue="1" operator="equal">
      <formula>0</formula>
    </cfRule>
  </conditionalFormatting>
  <conditionalFormatting sqref="L64">
    <cfRule type="expression" dxfId="259" priority="225" stopIfTrue="1">
      <formula>ISERROR</formula>
    </cfRule>
  </conditionalFormatting>
  <conditionalFormatting sqref="L64">
    <cfRule type="cellIs" dxfId="258" priority="224" stopIfTrue="1" operator="equal">
      <formula>0</formula>
    </cfRule>
  </conditionalFormatting>
  <conditionalFormatting sqref="L64">
    <cfRule type="expression" dxfId="257" priority="223" stopIfTrue="1">
      <formula>ISERROR</formula>
    </cfRule>
  </conditionalFormatting>
  <conditionalFormatting sqref="E65:K65 M65 C65">
    <cfRule type="expression" dxfId="256" priority="222" stopIfTrue="1">
      <formula>ISERROR</formula>
    </cfRule>
  </conditionalFormatting>
  <conditionalFormatting sqref="C65:K65 M65:Y65">
    <cfRule type="cellIs" dxfId="255" priority="221" stopIfTrue="1" operator="equal">
      <formula>0</formula>
    </cfRule>
  </conditionalFormatting>
  <conditionalFormatting sqref="L65">
    <cfRule type="expression" dxfId="254" priority="220" stopIfTrue="1">
      <formula>ISERROR</formula>
    </cfRule>
  </conditionalFormatting>
  <conditionalFormatting sqref="L65">
    <cfRule type="cellIs" dxfId="253" priority="219" stopIfTrue="1" operator="equal">
      <formula>0</formula>
    </cfRule>
  </conditionalFormatting>
  <conditionalFormatting sqref="L65">
    <cfRule type="expression" dxfId="252" priority="218" stopIfTrue="1">
      <formula>ISERROR</formula>
    </cfRule>
  </conditionalFormatting>
  <conditionalFormatting sqref="E66:M66 C66">
    <cfRule type="expression" dxfId="251" priority="217" stopIfTrue="1">
      <formula>ISERROR</formula>
    </cfRule>
  </conditionalFormatting>
  <conditionalFormatting sqref="C66:Y66">
    <cfRule type="cellIs" dxfId="250" priority="216" stopIfTrue="1" operator="equal">
      <formula>0</formula>
    </cfRule>
  </conditionalFormatting>
  <conditionalFormatting sqref="E67:K67 M67 C67">
    <cfRule type="expression" dxfId="249" priority="215" stopIfTrue="1">
      <formula>ISERROR</formula>
    </cfRule>
  </conditionalFormatting>
  <conditionalFormatting sqref="C67:K67 M67:Y67">
    <cfRule type="cellIs" dxfId="248" priority="214" stopIfTrue="1" operator="equal">
      <formula>0</formula>
    </cfRule>
  </conditionalFormatting>
  <conditionalFormatting sqref="L67">
    <cfRule type="expression" dxfId="247" priority="213" stopIfTrue="1">
      <formula>ISERROR</formula>
    </cfRule>
  </conditionalFormatting>
  <conditionalFormatting sqref="L67">
    <cfRule type="cellIs" dxfId="246" priority="212" stopIfTrue="1" operator="equal">
      <formula>0</formula>
    </cfRule>
  </conditionalFormatting>
  <conditionalFormatting sqref="L67">
    <cfRule type="expression" dxfId="245" priority="211" stopIfTrue="1">
      <formula>ISERROR</formula>
    </cfRule>
  </conditionalFormatting>
  <conditionalFormatting sqref="E68:M68 C68">
    <cfRule type="expression" dxfId="244" priority="210" stopIfTrue="1">
      <formula>ISERROR</formula>
    </cfRule>
  </conditionalFormatting>
  <conditionalFormatting sqref="C68:Y68">
    <cfRule type="cellIs" dxfId="243" priority="209" stopIfTrue="1" operator="equal">
      <formula>0</formula>
    </cfRule>
  </conditionalFormatting>
  <conditionalFormatting sqref="E69:M69 C69">
    <cfRule type="expression" dxfId="242" priority="208" stopIfTrue="1">
      <formula>ISERROR</formula>
    </cfRule>
  </conditionalFormatting>
  <conditionalFormatting sqref="C69:Y69">
    <cfRule type="cellIs" dxfId="241" priority="207" stopIfTrue="1" operator="equal">
      <formula>0</formula>
    </cfRule>
  </conditionalFormatting>
  <conditionalFormatting sqref="E70:M70 C70">
    <cfRule type="expression" dxfId="240" priority="206" stopIfTrue="1">
      <formula>ISERROR</formula>
    </cfRule>
  </conditionalFormatting>
  <conditionalFormatting sqref="C70:Y70">
    <cfRule type="cellIs" dxfId="239" priority="205" stopIfTrue="1" operator="equal">
      <formula>0</formula>
    </cfRule>
  </conditionalFormatting>
  <conditionalFormatting sqref="E71:F71 L71:M71 C71">
    <cfRule type="expression" dxfId="238" priority="204" stopIfTrue="1">
      <formula>ISERROR</formula>
    </cfRule>
  </conditionalFormatting>
  <conditionalFormatting sqref="C71:F71 L71:Y71">
    <cfRule type="cellIs" dxfId="237" priority="203" stopIfTrue="1" operator="equal">
      <formula>0</formula>
    </cfRule>
  </conditionalFormatting>
  <conditionalFormatting sqref="G71:K71">
    <cfRule type="expression" dxfId="236" priority="202" stopIfTrue="1">
      <formula>ISERROR</formula>
    </cfRule>
  </conditionalFormatting>
  <conditionalFormatting sqref="G71:K71">
    <cfRule type="cellIs" dxfId="235" priority="201" stopIfTrue="1" operator="equal">
      <formula>0</formula>
    </cfRule>
  </conditionalFormatting>
  <conditionalFormatting sqref="E72:M72 C72">
    <cfRule type="expression" dxfId="234" priority="200" stopIfTrue="1">
      <formula>ISERROR</formula>
    </cfRule>
  </conditionalFormatting>
  <conditionalFormatting sqref="C72:Y72">
    <cfRule type="cellIs" dxfId="233" priority="199" stopIfTrue="1" operator="equal">
      <formula>0</formula>
    </cfRule>
  </conditionalFormatting>
  <conditionalFormatting sqref="E73:M73 C73">
    <cfRule type="expression" dxfId="232" priority="198" stopIfTrue="1">
      <formula>ISERROR</formula>
    </cfRule>
  </conditionalFormatting>
  <conditionalFormatting sqref="C73:Y73">
    <cfRule type="cellIs" dxfId="231" priority="197" stopIfTrue="1" operator="equal">
      <formula>0</formula>
    </cfRule>
  </conditionalFormatting>
  <conditionalFormatting sqref="E74:M74 C74">
    <cfRule type="expression" dxfId="230" priority="196" stopIfTrue="1">
      <formula>ISERROR</formula>
    </cfRule>
  </conditionalFormatting>
  <conditionalFormatting sqref="C74:Y74">
    <cfRule type="cellIs" dxfId="229" priority="195" stopIfTrue="1" operator="equal">
      <formula>0</formula>
    </cfRule>
  </conditionalFormatting>
  <conditionalFormatting sqref="E75:M75 C75">
    <cfRule type="expression" dxfId="228" priority="194" stopIfTrue="1">
      <formula>ISERROR</formula>
    </cfRule>
  </conditionalFormatting>
  <conditionalFormatting sqref="C75:Y75">
    <cfRule type="cellIs" dxfId="227" priority="193" stopIfTrue="1" operator="equal">
      <formula>0</formula>
    </cfRule>
  </conditionalFormatting>
  <conditionalFormatting sqref="E76:M76 C76">
    <cfRule type="expression" dxfId="226" priority="192" stopIfTrue="1">
      <formula>ISERROR</formula>
    </cfRule>
  </conditionalFormatting>
  <conditionalFormatting sqref="C76:Y76">
    <cfRule type="cellIs" dxfId="225" priority="191" stopIfTrue="1" operator="equal">
      <formula>0</formula>
    </cfRule>
  </conditionalFormatting>
  <conditionalFormatting sqref="E77:M77 C77">
    <cfRule type="expression" dxfId="224" priority="190" stopIfTrue="1">
      <formula>ISERROR</formula>
    </cfRule>
  </conditionalFormatting>
  <conditionalFormatting sqref="C77:Y77">
    <cfRule type="cellIs" dxfId="223" priority="189" stopIfTrue="1" operator="equal">
      <formula>0</formula>
    </cfRule>
  </conditionalFormatting>
  <conditionalFormatting sqref="E78:M78 C78">
    <cfRule type="expression" dxfId="222" priority="188" stopIfTrue="1">
      <formula>ISERROR</formula>
    </cfRule>
  </conditionalFormatting>
  <conditionalFormatting sqref="C78:Y78">
    <cfRule type="cellIs" dxfId="221" priority="187" stopIfTrue="1" operator="equal">
      <formula>0</formula>
    </cfRule>
  </conditionalFormatting>
  <conditionalFormatting sqref="E79:M79 C79">
    <cfRule type="expression" dxfId="220" priority="186" stopIfTrue="1">
      <formula>ISERROR</formula>
    </cfRule>
  </conditionalFormatting>
  <conditionalFormatting sqref="C79:Y79">
    <cfRule type="cellIs" dxfId="219" priority="185" stopIfTrue="1" operator="equal">
      <formula>0</formula>
    </cfRule>
  </conditionalFormatting>
  <conditionalFormatting sqref="E80:M80 C80">
    <cfRule type="expression" dxfId="218" priority="184" stopIfTrue="1">
      <formula>ISERROR</formula>
    </cfRule>
  </conditionalFormatting>
  <conditionalFormatting sqref="C80:Y80">
    <cfRule type="cellIs" dxfId="217" priority="183" stopIfTrue="1" operator="equal">
      <formula>0</formula>
    </cfRule>
  </conditionalFormatting>
  <conditionalFormatting sqref="E81:M81 C81">
    <cfRule type="expression" dxfId="216" priority="182" stopIfTrue="1">
      <formula>ISERROR</formula>
    </cfRule>
  </conditionalFormatting>
  <conditionalFormatting sqref="C81:Y81">
    <cfRule type="cellIs" dxfId="215" priority="181" stopIfTrue="1" operator="equal">
      <formula>0</formula>
    </cfRule>
  </conditionalFormatting>
  <conditionalFormatting sqref="E82:M82 C82">
    <cfRule type="expression" dxfId="214" priority="180" stopIfTrue="1">
      <formula>ISERROR</formula>
    </cfRule>
  </conditionalFormatting>
  <conditionalFormatting sqref="C82:Y82">
    <cfRule type="cellIs" dxfId="213" priority="179" stopIfTrue="1" operator="equal">
      <formula>0</formula>
    </cfRule>
  </conditionalFormatting>
  <conditionalFormatting sqref="E83:M83 C83">
    <cfRule type="expression" dxfId="212" priority="178" stopIfTrue="1">
      <formula>ISERROR</formula>
    </cfRule>
  </conditionalFormatting>
  <conditionalFormatting sqref="C83:Y83">
    <cfRule type="cellIs" dxfId="211" priority="177" stopIfTrue="1" operator="equal">
      <formula>0</formula>
    </cfRule>
  </conditionalFormatting>
  <conditionalFormatting sqref="E84:M84 C84">
    <cfRule type="expression" dxfId="210" priority="176" stopIfTrue="1">
      <formula>ISERROR</formula>
    </cfRule>
  </conditionalFormatting>
  <conditionalFormatting sqref="C84:Y84">
    <cfRule type="cellIs" dxfId="209" priority="175" stopIfTrue="1" operator="equal">
      <formula>0</formula>
    </cfRule>
  </conditionalFormatting>
  <conditionalFormatting sqref="E85:M85 C85">
    <cfRule type="expression" dxfId="208" priority="174" stopIfTrue="1">
      <formula>ISERROR</formula>
    </cfRule>
  </conditionalFormatting>
  <conditionalFormatting sqref="C85:Y85">
    <cfRule type="cellIs" dxfId="207" priority="173" stopIfTrue="1" operator="equal">
      <formula>0</formula>
    </cfRule>
  </conditionalFormatting>
  <conditionalFormatting sqref="E86:M86 C86">
    <cfRule type="expression" dxfId="206" priority="172" stopIfTrue="1">
      <formula>ISERROR</formula>
    </cfRule>
  </conditionalFormatting>
  <conditionalFormatting sqref="C86:Y86">
    <cfRule type="cellIs" dxfId="205" priority="171" stopIfTrue="1" operator="equal">
      <formula>0</formula>
    </cfRule>
  </conditionalFormatting>
  <conditionalFormatting sqref="L87:M87 C87">
    <cfRule type="expression" dxfId="204" priority="170" stopIfTrue="1">
      <formula>ISERROR</formula>
    </cfRule>
  </conditionalFormatting>
  <conditionalFormatting sqref="C87:D87 L87:Y87">
    <cfRule type="cellIs" dxfId="203" priority="169" stopIfTrue="1" operator="equal">
      <formula>0</formula>
    </cfRule>
  </conditionalFormatting>
  <conditionalFormatting sqref="E87:K87">
    <cfRule type="cellIs" dxfId="202" priority="167" stopIfTrue="1" operator="equal">
      <formula>0</formula>
    </cfRule>
  </conditionalFormatting>
  <conditionalFormatting sqref="E87:K87">
    <cfRule type="expression" dxfId="201" priority="168" stopIfTrue="1">
      <formula>ISERROR</formula>
    </cfRule>
  </conditionalFormatting>
  <conditionalFormatting sqref="E88:M88 C88">
    <cfRule type="expression" dxfId="200" priority="166" stopIfTrue="1">
      <formula>ISERROR</formula>
    </cfRule>
  </conditionalFormatting>
  <conditionalFormatting sqref="C88:Y88">
    <cfRule type="cellIs" dxfId="199" priority="165" stopIfTrue="1" operator="equal">
      <formula>0</formula>
    </cfRule>
  </conditionalFormatting>
  <conditionalFormatting sqref="E89:M89 C89">
    <cfRule type="expression" dxfId="198" priority="164" stopIfTrue="1">
      <formula>ISERROR</formula>
    </cfRule>
  </conditionalFormatting>
  <conditionalFormatting sqref="C89:Y89">
    <cfRule type="cellIs" dxfId="197" priority="163" stopIfTrue="1" operator="equal">
      <formula>0</formula>
    </cfRule>
  </conditionalFormatting>
  <conditionalFormatting sqref="E90:L90 C90">
    <cfRule type="expression" dxfId="196" priority="162" stopIfTrue="1">
      <formula>ISERROR</formula>
    </cfRule>
  </conditionalFormatting>
  <conditionalFormatting sqref="C90:L90 N90:Y90">
    <cfRule type="cellIs" dxfId="195" priority="161" stopIfTrue="1" operator="equal">
      <formula>0</formula>
    </cfRule>
  </conditionalFormatting>
  <conditionalFormatting sqref="M90">
    <cfRule type="expression" dxfId="194" priority="159" stopIfTrue="1">
      <formula>ISERROR</formula>
    </cfRule>
  </conditionalFormatting>
  <conditionalFormatting sqref="M90">
    <cfRule type="cellIs" dxfId="193" priority="160" stopIfTrue="1" operator="equal">
      <formula>0</formula>
    </cfRule>
  </conditionalFormatting>
  <conditionalFormatting sqref="E91:M91 C91">
    <cfRule type="expression" dxfId="192" priority="158" stopIfTrue="1">
      <formula>ISERROR</formula>
    </cfRule>
  </conditionalFormatting>
  <conditionalFormatting sqref="C91:Y91">
    <cfRule type="cellIs" dxfId="191" priority="157" stopIfTrue="1" operator="equal">
      <formula>0</formula>
    </cfRule>
  </conditionalFormatting>
  <conditionalFormatting sqref="E92:M92 C92">
    <cfRule type="expression" dxfId="190" priority="156" stopIfTrue="1">
      <formula>ISERROR</formula>
    </cfRule>
  </conditionalFormatting>
  <conditionalFormatting sqref="C92:Y92">
    <cfRule type="cellIs" dxfId="189" priority="155" stopIfTrue="1" operator="equal">
      <formula>0</formula>
    </cfRule>
  </conditionalFormatting>
  <conditionalFormatting sqref="E93:M93 C93">
    <cfRule type="expression" dxfId="188" priority="154" stopIfTrue="1">
      <formula>ISERROR</formula>
    </cfRule>
  </conditionalFormatting>
  <conditionalFormatting sqref="C93:Y93">
    <cfRule type="cellIs" dxfId="187" priority="153" stopIfTrue="1" operator="equal">
      <formula>0</formula>
    </cfRule>
  </conditionalFormatting>
  <conditionalFormatting sqref="E94:M94 C94">
    <cfRule type="expression" dxfId="186" priority="152" stopIfTrue="1">
      <formula>ISERROR</formula>
    </cfRule>
  </conditionalFormatting>
  <conditionalFormatting sqref="C94:Y94">
    <cfRule type="cellIs" dxfId="185" priority="151" stopIfTrue="1" operator="equal">
      <formula>0</formula>
    </cfRule>
  </conditionalFormatting>
  <conditionalFormatting sqref="E95:M95 C95">
    <cfRule type="expression" dxfId="184" priority="150" stopIfTrue="1">
      <formula>ISERROR</formula>
    </cfRule>
  </conditionalFormatting>
  <conditionalFormatting sqref="C95:Y95">
    <cfRule type="cellIs" dxfId="183" priority="149" stopIfTrue="1" operator="equal">
      <formula>0</formula>
    </cfRule>
  </conditionalFormatting>
  <conditionalFormatting sqref="E96:M96 C96">
    <cfRule type="expression" dxfId="182" priority="148" stopIfTrue="1">
      <formula>ISERROR</formula>
    </cfRule>
  </conditionalFormatting>
  <conditionalFormatting sqref="C96:Y96">
    <cfRule type="cellIs" dxfId="181" priority="147" stopIfTrue="1" operator="equal">
      <formula>0</formula>
    </cfRule>
  </conditionalFormatting>
  <conditionalFormatting sqref="E97:M97 C97">
    <cfRule type="expression" dxfId="180" priority="146" stopIfTrue="1">
      <formula>ISERROR</formula>
    </cfRule>
  </conditionalFormatting>
  <conditionalFormatting sqref="C97:Y97">
    <cfRule type="cellIs" dxfId="179" priority="145" stopIfTrue="1" operator="equal">
      <formula>0</formula>
    </cfRule>
  </conditionalFormatting>
  <conditionalFormatting sqref="E98:M98 C98">
    <cfRule type="expression" dxfId="178" priority="144" stopIfTrue="1">
      <formula>ISERROR</formula>
    </cfRule>
  </conditionalFormatting>
  <conditionalFormatting sqref="C98:Y98">
    <cfRule type="cellIs" dxfId="177" priority="143" stopIfTrue="1" operator="equal">
      <formula>0</formula>
    </cfRule>
  </conditionalFormatting>
  <conditionalFormatting sqref="E99:M99 C99">
    <cfRule type="expression" dxfId="176" priority="142" stopIfTrue="1">
      <formula>ISERROR</formula>
    </cfRule>
  </conditionalFormatting>
  <conditionalFormatting sqref="C99:Y99">
    <cfRule type="cellIs" dxfId="175" priority="141" stopIfTrue="1" operator="equal">
      <formula>0</formula>
    </cfRule>
  </conditionalFormatting>
  <conditionalFormatting sqref="E100:M100 C100">
    <cfRule type="expression" dxfId="174" priority="140" stopIfTrue="1">
      <formula>ISERROR</formula>
    </cfRule>
  </conditionalFormatting>
  <conditionalFormatting sqref="C100:Y100">
    <cfRule type="cellIs" dxfId="173" priority="139" stopIfTrue="1" operator="equal">
      <formula>0</formula>
    </cfRule>
  </conditionalFormatting>
  <conditionalFormatting sqref="E101:M101 C101">
    <cfRule type="expression" dxfId="172" priority="138" stopIfTrue="1">
      <formula>ISERROR</formula>
    </cfRule>
  </conditionalFormatting>
  <conditionalFormatting sqref="C101:Y101">
    <cfRule type="cellIs" dxfId="171" priority="137" stopIfTrue="1" operator="equal">
      <formula>0</formula>
    </cfRule>
  </conditionalFormatting>
  <conditionalFormatting sqref="E102:M102 C102">
    <cfRule type="expression" dxfId="170" priority="136" stopIfTrue="1">
      <formula>ISERROR</formula>
    </cfRule>
  </conditionalFormatting>
  <conditionalFormatting sqref="C102:Y102">
    <cfRule type="cellIs" dxfId="169" priority="135" stopIfTrue="1" operator="equal">
      <formula>0</formula>
    </cfRule>
  </conditionalFormatting>
  <conditionalFormatting sqref="E103:M103 C103">
    <cfRule type="expression" dxfId="168" priority="134" stopIfTrue="1">
      <formula>ISERROR</formula>
    </cfRule>
  </conditionalFormatting>
  <conditionalFormatting sqref="C103:Y103">
    <cfRule type="cellIs" dxfId="167" priority="133" stopIfTrue="1" operator="equal">
      <formula>0</formula>
    </cfRule>
  </conditionalFormatting>
  <conditionalFormatting sqref="E104:M104 C104">
    <cfRule type="expression" dxfId="166" priority="132" stopIfTrue="1">
      <formula>ISERROR</formula>
    </cfRule>
  </conditionalFormatting>
  <conditionalFormatting sqref="C104:Y104">
    <cfRule type="cellIs" dxfId="165" priority="131" stopIfTrue="1" operator="equal">
      <formula>0</formula>
    </cfRule>
  </conditionalFormatting>
  <conditionalFormatting sqref="E105:M105 C105">
    <cfRule type="expression" dxfId="164" priority="130" stopIfTrue="1">
      <formula>ISERROR</formula>
    </cfRule>
  </conditionalFormatting>
  <conditionalFormatting sqref="C105:Y105">
    <cfRule type="cellIs" dxfId="163" priority="129" stopIfTrue="1" operator="equal">
      <formula>0</formula>
    </cfRule>
  </conditionalFormatting>
  <conditionalFormatting sqref="E106:M106 C106">
    <cfRule type="expression" dxfId="162" priority="128" stopIfTrue="1">
      <formula>ISERROR</formula>
    </cfRule>
  </conditionalFormatting>
  <conditionalFormatting sqref="C106:Y106">
    <cfRule type="cellIs" dxfId="161" priority="127" stopIfTrue="1" operator="equal">
      <formula>0</formula>
    </cfRule>
  </conditionalFormatting>
  <conditionalFormatting sqref="E107:M107 C107">
    <cfRule type="expression" dxfId="160" priority="126" stopIfTrue="1">
      <formula>ISERROR</formula>
    </cfRule>
  </conditionalFormatting>
  <conditionalFormatting sqref="C107:Y107">
    <cfRule type="cellIs" dxfId="159" priority="125" stopIfTrue="1" operator="equal">
      <formula>0</formula>
    </cfRule>
  </conditionalFormatting>
  <conditionalFormatting sqref="E108:M108 C108">
    <cfRule type="expression" dxfId="158" priority="124" stopIfTrue="1">
      <formula>ISERROR</formula>
    </cfRule>
  </conditionalFormatting>
  <conditionalFormatting sqref="C108:Y108">
    <cfRule type="cellIs" dxfId="157" priority="123" stopIfTrue="1" operator="equal">
      <formula>0</formula>
    </cfRule>
  </conditionalFormatting>
  <conditionalFormatting sqref="E109:M109 C109">
    <cfRule type="expression" dxfId="156" priority="122" stopIfTrue="1">
      <formula>ISERROR</formula>
    </cfRule>
  </conditionalFormatting>
  <conditionalFormatting sqref="C109:Y109">
    <cfRule type="cellIs" dxfId="155" priority="121" stopIfTrue="1" operator="equal">
      <formula>0</formula>
    </cfRule>
  </conditionalFormatting>
  <conditionalFormatting sqref="E110:M110 C110">
    <cfRule type="expression" dxfId="154" priority="120" stopIfTrue="1">
      <formula>ISERROR</formula>
    </cfRule>
  </conditionalFormatting>
  <conditionalFormatting sqref="C110:Y110">
    <cfRule type="cellIs" dxfId="153" priority="119" stopIfTrue="1" operator="equal">
      <formula>0</formula>
    </cfRule>
  </conditionalFormatting>
  <conditionalFormatting sqref="E111:M111 C111">
    <cfRule type="expression" dxfId="152" priority="118" stopIfTrue="1">
      <formula>ISERROR</formula>
    </cfRule>
  </conditionalFormatting>
  <conditionalFormatting sqref="C111:Y111">
    <cfRule type="cellIs" dxfId="151" priority="117" stopIfTrue="1" operator="equal">
      <formula>0</formula>
    </cfRule>
  </conditionalFormatting>
  <conditionalFormatting sqref="E112:M112 C112">
    <cfRule type="expression" dxfId="150" priority="116" stopIfTrue="1">
      <formula>ISERROR</formula>
    </cfRule>
  </conditionalFormatting>
  <conditionalFormatting sqref="C112:Y112">
    <cfRule type="cellIs" dxfId="149" priority="115" stopIfTrue="1" operator="equal">
      <formula>0</formula>
    </cfRule>
  </conditionalFormatting>
  <conditionalFormatting sqref="E113:M113 C113">
    <cfRule type="expression" dxfId="148" priority="114" stopIfTrue="1">
      <formula>ISERROR</formula>
    </cfRule>
  </conditionalFormatting>
  <conditionalFormatting sqref="C113:Y113">
    <cfRule type="cellIs" dxfId="147" priority="113" stopIfTrue="1" operator="equal">
      <formula>0</formula>
    </cfRule>
  </conditionalFormatting>
  <conditionalFormatting sqref="E114:M114 C114">
    <cfRule type="expression" dxfId="146" priority="112" stopIfTrue="1">
      <formula>ISERROR</formula>
    </cfRule>
  </conditionalFormatting>
  <conditionalFormatting sqref="C114:Y114">
    <cfRule type="cellIs" dxfId="145" priority="111" stopIfTrue="1" operator="equal">
      <formula>0</formula>
    </cfRule>
  </conditionalFormatting>
  <conditionalFormatting sqref="E115:M115 C115">
    <cfRule type="expression" dxfId="144" priority="110" stopIfTrue="1">
      <formula>ISERROR</formula>
    </cfRule>
  </conditionalFormatting>
  <conditionalFormatting sqref="C115:Y115">
    <cfRule type="cellIs" dxfId="143" priority="109" stopIfTrue="1" operator="equal">
      <formula>0</formula>
    </cfRule>
  </conditionalFormatting>
  <conditionalFormatting sqref="E116:M116 C116">
    <cfRule type="expression" dxfId="142" priority="108" stopIfTrue="1">
      <formula>ISERROR</formula>
    </cfRule>
  </conditionalFormatting>
  <conditionalFormatting sqref="C116:Y116">
    <cfRule type="cellIs" dxfId="141" priority="107" stopIfTrue="1" operator="equal">
      <formula>0</formula>
    </cfRule>
  </conditionalFormatting>
  <conditionalFormatting sqref="F117:M117 C117">
    <cfRule type="expression" dxfId="140" priority="106" stopIfTrue="1">
      <formula>ISERROR</formula>
    </cfRule>
  </conditionalFormatting>
  <conditionalFormatting sqref="C117:D117 F117:Y117">
    <cfRule type="cellIs" dxfId="139" priority="105" stopIfTrue="1" operator="equal">
      <formula>0</formula>
    </cfRule>
  </conditionalFormatting>
  <conditionalFormatting sqref="C118 E118:M118">
    <cfRule type="expression" dxfId="138" priority="104" stopIfTrue="1">
      <formula>ISERROR</formula>
    </cfRule>
  </conditionalFormatting>
  <conditionalFormatting sqref="C118:Y118">
    <cfRule type="cellIs" dxfId="137" priority="103" stopIfTrue="1" operator="equal">
      <formula>0</formula>
    </cfRule>
  </conditionalFormatting>
  <conditionalFormatting sqref="C119 E119:M119">
    <cfRule type="expression" dxfId="136" priority="102" stopIfTrue="1">
      <formula>ISERROR</formula>
    </cfRule>
  </conditionalFormatting>
  <conditionalFormatting sqref="C119:Y119">
    <cfRule type="cellIs" dxfId="135" priority="101" stopIfTrue="1" operator="equal">
      <formula>0</formula>
    </cfRule>
  </conditionalFormatting>
  <conditionalFormatting sqref="C120 E120:M120">
    <cfRule type="expression" dxfId="134" priority="100" stopIfTrue="1">
      <formula>ISERROR</formula>
    </cfRule>
  </conditionalFormatting>
  <conditionalFormatting sqref="C120:Y120">
    <cfRule type="cellIs" dxfId="133" priority="99" stopIfTrue="1" operator="equal">
      <formula>0</formula>
    </cfRule>
  </conditionalFormatting>
  <conditionalFormatting sqref="C121 E121:M121">
    <cfRule type="expression" dxfId="132" priority="98" stopIfTrue="1">
      <formula>ISERROR</formula>
    </cfRule>
  </conditionalFormatting>
  <conditionalFormatting sqref="C121:Y121">
    <cfRule type="cellIs" dxfId="131" priority="97" stopIfTrue="1" operator="equal">
      <formula>0</formula>
    </cfRule>
  </conditionalFormatting>
  <conditionalFormatting sqref="C122 E122:M122">
    <cfRule type="expression" dxfId="130" priority="96" stopIfTrue="1">
      <formula>ISERROR</formula>
    </cfRule>
  </conditionalFormatting>
  <conditionalFormatting sqref="C122:Y122">
    <cfRule type="cellIs" dxfId="129" priority="95" stopIfTrue="1" operator="equal">
      <formula>0</formula>
    </cfRule>
  </conditionalFormatting>
  <conditionalFormatting sqref="C123 E123:M123">
    <cfRule type="expression" dxfId="128" priority="94" stopIfTrue="1">
      <formula>ISERROR</formula>
    </cfRule>
  </conditionalFormatting>
  <conditionalFormatting sqref="C123:Y123">
    <cfRule type="cellIs" dxfId="127" priority="93" stopIfTrue="1" operator="equal">
      <formula>0</formula>
    </cfRule>
  </conditionalFormatting>
  <conditionalFormatting sqref="C124 E124:M124">
    <cfRule type="expression" dxfId="126" priority="92" stopIfTrue="1">
      <formula>ISERROR</formula>
    </cfRule>
  </conditionalFormatting>
  <conditionalFormatting sqref="C124:Y124">
    <cfRule type="cellIs" dxfId="125" priority="91" stopIfTrue="1" operator="equal">
      <formula>0</formula>
    </cfRule>
  </conditionalFormatting>
  <conditionalFormatting sqref="C125 E125:M125">
    <cfRule type="expression" dxfId="124" priority="90" stopIfTrue="1">
      <formula>ISERROR</formula>
    </cfRule>
  </conditionalFormatting>
  <conditionalFormatting sqref="C125:Y125">
    <cfRule type="cellIs" dxfId="123" priority="89" stopIfTrue="1" operator="equal">
      <formula>0</formula>
    </cfRule>
  </conditionalFormatting>
  <conditionalFormatting sqref="C127 E127:M127">
    <cfRule type="expression" dxfId="122" priority="88" stopIfTrue="1">
      <formula>ISERROR</formula>
    </cfRule>
  </conditionalFormatting>
  <conditionalFormatting sqref="C127:Y127">
    <cfRule type="cellIs" dxfId="121" priority="87" stopIfTrue="1" operator="equal">
      <formula>0</formula>
    </cfRule>
  </conditionalFormatting>
  <conditionalFormatting sqref="C128 E128:M128">
    <cfRule type="expression" dxfId="120" priority="86" stopIfTrue="1">
      <formula>ISERROR</formula>
    </cfRule>
  </conditionalFormatting>
  <conditionalFormatting sqref="C128:Y128">
    <cfRule type="cellIs" dxfId="119" priority="85" stopIfTrue="1" operator="equal">
      <formula>0</formula>
    </cfRule>
  </conditionalFormatting>
  <conditionalFormatting sqref="C130 E130:M130">
    <cfRule type="expression" dxfId="118" priority="84" stopIfTrue="1">
      <formula>ISERROR</formula>
    </cfRule>
  </conditionalFormatting>
  <conditionalFormatting sqref="C130:Y130">
    <cfRule type="cellIs" dxfId="117" priority="83" stopIfTrue="1" operator="equal">
      <formula>0</formula>
    </cfRule>
  </conditionalFormatting>
  <conditionalFormatting sqref="C131 E131:M131">
    <cfRule type="expression" dxfId="116" priority="82" stopIfTrue="1">
      <formula>ISERROR</formula>
    </cfRule>
  </conditionalFormatting>
  <conditionalFormatting sqref="C131:Y131">
    <cfRule type="cellIs" dxfId="115" priority="81" stopIfTrue="1" operator="equal">
      <formula>0</formula>
    </cfRule>
  </conditionalFormatting>
  <conditionalFormatting sqref="C133 E133:M133">
    <cfRule type="expression" dxfId="114" priority="80" stopIfTrue="1">
      <formula>ISERROR</formula>
    </cfRule>
  </conditionalFormatting>
  <conditionalFormatting sqref="C133:Y133">
    <cfRule type="cellIs" dxfId="113" priority="79" stopIfTrue="1" operator="equal">
      <formula>0</formula>
    </cfRule>
  </conditionalFormatting>
  <conditionalFormatting sqref="C134 E134:M134">
    <cfRule type="expression" dxfId="112" priority="78" stopIfTrue="1">
      <formula>ISERROR</formula>
    </cfRule>
  </conditionalFormatting>
  <conditionalFormatting sqref="C134:Y134">
    <cfRule type="cellIs" dxfId="111" priority="77" stopIfTrue="1" operator="equal">
      <formula>0</formula>
    </cfRule>
  </conditionalFormatting>
  <conditionalFormatting sqref="C135 E135:M135">
    <cfRule type="expression" dxfId="110" priority="76" stopIfTrue="1">
      <formula>ISERROR</formula>
    </cfRule>
  </conditionalFormatting>
  <conditionalFormatting sqref="C135:Y135">
    <cfRule type="cellIs" dxfId="109" priority="75" stopIfTrue="1" operator="equal">
      <formula>0</formula>
    </cfRule>
  </conditionalFormatting>
  <conditionalFormatting sqref="C136 E136:M136">
    <cfRule type="expression" dxfId="108" priority="74" stopIfTrue="1">
      <formula>ISERROR</formula>
    </cfRule>
  </conditionalFormatting>
  <conditionalFormatting sqref="C136:Y136">
    <cfRule type="cellIs" dxfId="107" priority="73" stopIfTrue="1" operator="equal">
      <formula>0</formula>
    </cfRule>
  </conditionalFormatting>
  <conditionalFormatting sqref="C137 E137:M137">
    <cfRule type="expression" dxfId="106" priority="72" stopIfTrue="1">
      <formula>ISERROR</formula>
    </cfRule>
  </conditionalFormatting>
  <conditionalFormatting sqref="C137:Y137">
    <cfRule type="cellIs" dxfId="105" priority="71" stopIfTrue="1" operator="equal">
      <formula>0</formula>
    </cfRule>
  </conditionalFormatting>
  <conditionalFormatting sqref="C138 E138:M138">
    <cfRule type="expression" dxfId="104" priority="70" stopIfTrue="1">
      <formula>ISERROR</formula>
    </cfRule>
  </conditionalFormatting>
  <conditionalFormatting sqref="C138:Y138">
    <cfRule type="cellIs" dxfId="103" priority="69" stopIfTrue="1" operator="equal">
      <formula>0</formula>
    </cfRule>
  </conditionalFormatting>
  <conditionalFormatting sqref="C139 E139:M139">
    <cfRule type="expression" dxfId="102" priority="68" stopIfTrue="1">
      <formula>ISERROR</formula>
    </cfRule>
  </conditionalFormatting>
  <conditionalFormatting sqref="C139:Y139">
    <cfRule type="cellIs" dxfId="101" priority="67" stopIfTrue="1" operator="equal">
      <formula>0</formula>
    </cfRule>
  </conditionalFormatting>
  <conditionalFormatting sqref="C140 E140:M140">
    <cfRule type="expression" dxfId="100" priority="66" stopIfTrue="1">
      <formula>ISERROR</formula>
    </cfRule>
  </conditionalFormatting>
  <conditionalFormatting sqref="C140:Y140">
    <cfRule type="cellIs" dxfId="99" priority="65" stopIfTrue="1" operator="equal">
      <formula>0</formula>
    </cfRule>
  </conditionalFormatting>
  <conditionalFormatting sqref="C141 E141:M141">
    <cfRule type="expression" dxfId="98" priority="64" stopIfTrue="1">
      <formula>ISERROR</formula>
    </cfRule>
  </conditionalFormatting>
  <conditionalFormatting sqref="C141:Y141">
    <cfRule type="cellIs" dxfId="97" priority="63" stopIfTrue="1" operator="equal">
      <formula>0</formula>
    </cfRule>
  </conditionalFormatting>
  <conditionalFormatting sqref="C142 E142:M142">
    <cfRule type="expression" dxfId="96" priority="62" stopIfTrue="1">
      <formula>ISERROR</formula>
    </cfRule>
  </conditionalFormatting>
  <conditionalFormatting sqref="C142:Y142">
    <cfRule type="cellIs" dxfId="95" priority="61" stopIfTrue="1" operator="equal">
      <formula>0</formula>
    </cfRule>
  </conditionalFormatting>
  <conditionalFormatting sqref="C143 E143:M143">
    <cfRule type="expression" dxfId="94" priority="60" stopIfTrue="1">
      <formula>ISERROR</formula>
    </cfRule>
  </conditionalFormatting>
  <conditionalFormatting sqref="C143:Y143">
    <cfRule type="cellIs" dxfId="93" priority="59" stopIfTrue="1" operator="equal">
      <formula>0</formula>
    </cfRule>
  </conditionalFormatting>
  <conditionalFormatting sqref="C144 E144:M144">
    <cfRule type="expression" dxfId="92" priority="58" stopIfTrue="1">
      <formula>ISERROR</formula>
    </cfRule>
  </conditionalFormatting>
  <conditionalFormatting sqref="C144:Y144">
    <cfRule type="cellIs" dxfId="91" priority="57" stopIfTrue="1" operator="equal">
      <formula>0</formula>
    </cfRule>
  </conditionalFormatting>
  <conditionalFormatting sqref="C145 E145:M145">
    <cfRule type="expression" dxfId="90" priority="56" stopIfTrue="1">
      <formula>ISERROR</formula>
    </cfRule>
  </conditionalFormatting>
  <conditionalFormatting sqref="C145:Y145">
    <cfRule type="cellIs" dxfId="89" priority="55" stopIfTrue="1" operator="equal">
      <formula>0</formula>
    </cfRule>
  </conditionalFormatting>
  <conditionalFormatting sqref="C147 E147:M147">
    <cfRule type="expression" dxfId="88" priority="54" stopIfTrue="1">
      <formula>ISERROR</formula>
    </cfRule>
  </conditionalFormatting>
  <conditionalFormatting sqref="C147:Y147">
    <cfRule type="cellIs" dxfId="87" priority="53" stopIfTrue="1" operator="equal">
      <formula>0</formula>
    </cfRule>
  </conditionalFormatting>
  <conditionalFormatting sqref="C148 E148:M148">
    <cfRule type="expression" dxfId="86" priority="52" stopIfTrue="1">
      <formula>ISERROR</formula>
    </cfRule>
  </conditionalFormatting>
  <conditionalFormatting sqref="C148:Y148">
    <cfRule type="cellIs" dxfId="85" priority="51" stopIfTrue="1" operator="equal">
      <formula>0</formula>
    </cfRule>
  </conditionalFormatting>
  <conditionalFormatting sqref="C149 E149:M149">
    <cfRule type="expression" dxfId="84" priority="50" stopIfTrue="1">
      <formula>ISERROR</formula>
    </cfRule>
  </conditionalFormatting>
  <conditionalFormatting sqref="C149:Y149">
    <cfRule type="cellIs" dxfId="83" priority="49" stopIfTrue="1" operator="equal">
      <formula>0</formula>
    </cfRule>
  </conditionalFormatting>
  <conditionalFormatting sqref="C150 E150:M150">
    <cfRule type="expression" dxfId="82" priority="48" stopIfTrue="1">
      <formula>ISERROR</formula>
    </cfRule>
  </conditionalFormatting>
  <conditionalFormatting sqref="C150:Y150">
    <cfRule type="cellIs" dxfId="81" priority="47" stopIfTrue="1" operator="equal">
      <formula>0</formula>
    </cfRule>
  </conditionalFormatting>
  <conditionalFormatting sqref="C151 E151:M151">
    <cfRule type="expression" dxfId="80" priority="46" stopIfTrue="1">
      <formula>ISERROR</formula>
    </cfRule>
  </conditionalFormatting>
  <conditionalFormatting sqref="C151:Y151">
    <cfRule type="cellIs" dxfId="79" priority="45" stopIfTrue="1" operator="equal">
      <formula>0</formula>
    </cfRule>
  </conditionalFormatting>
  <conditionalFormatting sqref="C152 E152:M152">
    <cfRule type="expression" dxfId="78" priority="44" stopIfTrue="1">
      <formula>ISERROR</formula>
    </cfRule>
  </conditionalFormatting>
  <conditionalFormatting sqref="C152:Y152">
    <cfRule type="cellIs" dxfId="77" priority="43" stopIfTrue="1" operator="equal">
      <formula>0</formula>
    </cfRule>
  </conditionalFormatting>
  <conditionalFormatting sqref="C153 E153:M153">
    <cfRule type="expression" dxfId="76" priority="42" stopIfTrue="1">
      <formula>ISERROR</formula>
    </cfRule>
  </conditionalFormatting>
  <conditionalFormatting sqref="C153:Y153">
    <cfRule type="cellIs" dxfId="75" priority="41" stopIfTrue="1" operator="equal">
      <formula>0</formula>
    </cfRule>
  </conditionalFormatting>
  <conditionalFormatting sqref="C154 E154:M154">
    <cfRule type="expression" dxfId="74" priority="40" stopIfTrue="1">
      <formula>ISERROR</formula>
    </cfRule>
  </conditionalFormatting>
  <conditionalFormatting sqref="C154:Y154">
    <cfRule type="cellIs" dxfId="73" priority="39" stopIfTrue="1" operator="equal">
      <formula>0</formula>
    </cfRule>
  </conditionalFormatting>
  <conditionalFormatting sqref="C155 E155:M155">
    <cfRule type="expression" dxfId="72" priority="38" stopIfTrue="1">
      <formula>ISERROR</formula>
    </cfRule>
  </conditionalFormatting>
  <conditionalFormatting sqref="C155:Y155">
    <cfRule type="cellIs" dxfId="71" priority="37" stopIfTrue="1" operator="equal">
      <formula>0</formula>
    </cfRule>
  </conditionalFormatting>
  <conditionalFormatting sqref="C156 E156:M156">
    <cfRule type="expression" dxfId="70" priority="36" stopIfTrue="1">
      <formula>ISERROR</formula>
    </cfRule>
  </conditionalFormatting>
  <conditionalFormatting sqref="C156:Y156">
    <cfRule type="cellIs" dxfId="69" priority="35" stopIfTrue="1" operator="equal">
      <formula>0</formula>
    </cfRule>
  </conditionalFormatting>
  <conditionalFormatting sqref="C157 E157:M157">
    <cfRule type="expression" dxfId="68" priority="34" stopIfTrue="1">
      <formula>ISERROR</formula>
    </cfRule>
  </conditionalFormatting>
  <conditionalFormatting sqref="C157:Y157">
    <cfRule type="cellIs" dxfId="67" priority="33" stopIfTrue="1" operator="equal">
      <formula>0</formula>
    </cfRule>
  </conditionalFormatting>
  <conditionalFormatting sqref="C158 E158:M158">
    <cfRule type="expression" dxfId="66" priority="32" stopIfTrue="1">
      <formula>ISERROR</formula>
    </cfRule>
  </conditionalFormatting>
  <conditionalFormatting sqref="C158:Y158">
    <cfRule type="cellIs" dxfId="65" priority="31" stopIfTrue="1" operator="equal">
      <formula>0</formula>
    </cfRule>
  </conditionalFormatting>
  <conditionalFormatting sqref="C159 E159:M159">
    <cfRule type="expression" dxfId="64" priority="30" stopIfTrue="1">
      <formula>ISERROR</formula>
    </cfRule>
  </conditionalFormatting>
  <conditionalFormatting sqref="C159:Y159">
    <cfRule type="cellIs" dxfId="63" priority="29" stopIfTrue="1" operator="equal">
      <formula>0</formula>
    </cfRule>
  </conditionalFormatting>
  <conditionalFormatting sqref="C160 E160:M160">
    <cfRule type="expression" dxfId="62" priority="28" stopIfTrue="1">
      <formula>ISERROR</formula>
    </cfRule>
  </conditionalFormatting>
  <conditionalFormatting sqref="C160:Y160">
    <cfRule type="cellIs" dxfId="61" priority="27" stopIfTrue="1" operator="equal">
      <formula>0</formula>
    </cfRule>
  </conditionalFormatting>
  <conditionalFormatting sqref="C161 E161:M161">
    <cfRule type="expression" dxfId="60" priority="26" stopIfTrue="1">
      <formula>ISERROR</formula>
    </cfRule>
  </conditionalFormatting>
  <conditionalFormatting sqref="C161:Y161">
    <cfRule type="cellIs" dxfId="59" priority="25" stopIfTrue="1" operator="equal">
      <formula>0</formula>
    </cfRule>
  </conditionalFormatting>
  <conditionalFormatting sqref="C162 E162:M162">
    <cfRule type="expression" dxfId="58" priority="24" stopIfTrue="1">
      <formula>ISERROR</formula>
    </cfRule>
  </conditionalFormatting>
  <conditionalFormatting sqref="C162:Y162">
    <cfRule type="cellIs" dxfId="57" priority="23" stopIfTrue="1" operator="equal">
      <formula>0</formula>
    </cfRule>
  </conditionalFormatting>
  <conditionalFormatting sqref="C163 E163:M163">
    <cfRule type="expression" dxfId="56" priority="22" stopIfTrue="1">
      <formula>ISERROR</formula>
    </cfRule>
  </conditionalFormatting>
  <conditionalFormatting sqref="C163:Y163">
    <cfRule type="cellIs" dxfId="55" priority="21" stopIfTrue="1" operator="equal">
      <formula>0</formula>
    </cfRule>
  </conditionalFormatting>
  <conditionalFormatting sqref="C164 E164:M164">
    <cfRule type="expression" dxfId="54" priority="20" stopIfTrue="1">
      <formula>ISERROR</formula>
    </cfRule>
  </conditionalFormatting>
  <conditionalFormatting sqref="C164:Y164">
    <cfRule type="cellIs" dxfId="53" priority="19" stopIfTrue="1" operator="equal">
      <formula>0</formula>
    </cfRule>
  </conditionalFormatting>
  <conditionalFormatting sqref="C165 E165:M165">
    <cfRule type="expression" dxfId="52" priority="18" stopIfTrue="1">
      <formula>ISERROR</formula>
    </cfRule>
  </conditionalFormatting>
  <conditionalFormatting sqref="C165:Y165">
    <cfRule type="cellIs" dxfId="51" priority="17" stopIfTrue="1" operator="equal">
      <formula>0</formula>
    </cfRule>
  </conditionalFormatting>
  <conditionalFormatting sqref="C166 E166:M166">
    <cfRule type="expression" dxfId="50" priority="16" stopIfTrue="1">
      <formula>ISERROR</formula>
    </cfRule>
  </conditionalFormatting>
  <conditionalFormatting sqref="C166:Y166">
    <cfRule type="cellIs" dxfId="49" priority="15" stopIfTrue="1" operator="equal">
      <formula>0</formula>
    </cfRule>
  </conditionalFormatting>
  <conditionalFormatting sqref="C167 E167:M167">
    <cfRule type="expression" dxfId="48" priority="14" stopIfTrue="1">
      <formula>ISERROR</formula>
    </cfRule>
  </conditionalFormatting>
  <conditionalFormatting sqref="C167:Y167">
    <cfRule type="cellIs" dxfId="47" priority="13" stopIfTrue="1" operator="equal">
      <formula>0</formula>
    </cfRule>
  </conditionalFormatting>
  <conditionalFormatting sqref="C168 E168:M168">
    <cfRule type="expression" dxfId="46" priority="12" stopIfTrue="1">
      <formula>ISERROR</formula>
    </cfRule>
  </conditionalFormatting>
  <conditionalFormatting sqref="C168:Y168">
    <cfRule type="cellIs" dxfId="45" priority="11" stopIfTrue="1" operator="equal">
      <formula>0</formula>
    </cfRule>
  </conditionalFormatting>
  <conditionalFormatting sqref="C169 E169:M169">
    <cfRule type="expression" dxfId="44" priority="10" stopIfTrue="1">
      <formula>ISERROR</formula>
    </cfRule>
  </conditionalFormatting>
  <conditionalFormatting sqref="C169:Y169">
    <cfRule type="cellIs" dxfId="43" priority="9" stopIfTrue="1" operator="equal">
      <formula>0</formula>
    </cfRule>
  </conditionalFormatting>
  <conditionalFormatting sqref="C170 E170:M170">
    <cfRule type="expression" dxfId="42" priority="8" stopIfTrue="1">
      <formula>ISERROR</formula>
    </cfRule>
  </conditionalFormatting>
  <conditionalFormatting sqref="C170:Y170">
    <cfRule type="cellIs" dxfId="41" priority="7" stopIfTrue="1" operator="equal">
      <formula>0</formula>
    </cfRule>
  </conditionalFormatting>
  <conditionalFormatting sqref="C171 E171:M171">
    <cfRule type="expression" dxfId="40" priority="6" stopIfTrue="1">
      <formula>ISERROR</formula>
    </cfRule>
  </conditionalFormatting>
  <conditionalFormatting sqref="C171:Y171">
    <cfRule type="cellIs" dxfId="39" priority="5" stopIfTrue="1" operator="equal">
      <formula>0</formula>
    </cfRule>
  </conditionalFormatting>
  <conditionalFormatting sqref="C172 E172:M172">
    <cfRule type="expression" dxfId="38" priority="4" stopIfTrue="1">
      <formula>ISERROR</formula>
    </cfRule>
  </conditionalFormatting>
  <conditionalFormatting sqref="C172:Y172">
    <cfRule type="cellIs" dxfId="37" priority="3" stopIfTrue="1" operator="equal">
      <formula>0</formula>
    </cfRule>
  </conditionalFormatting>
  <conditionalFormatting sqref="C173 E173:M173">
    <cfRule type="expression" dxfId="36" priority="2" stopIfTrue="1">
      <formula>ISERROR</formula>
    </cfRule>
  </conditionalFormatting>
  <conditionalFormatting sqref="C173:Y173">
    <cfRule type="cellIs" dxfId="35" priority="1" stopIfTrue="1" operator="equal">
      <formula>0</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3D960-CC4B-4B23-BB18-C7EBBAD9222D}">
  <sheetPr codeName="Sheet9"/>
  <dimension ref="A1:Z15"/>
  <sheetViews>
    <sheetView workbookViewId="0"/>
  </sheetViews>
  <sheetFormatPr defaultRowHeight="12" x14ac:dyDescent="0.15"/>
  <sheetData>
    <row r="1" spans="1:26" ht="36" x14ac:dyDescent="0.15">
      <c r="A1" s="285" t="s">
        <v>389</v>
      </c>
      <c r="B1" s="285" t="s">
        <v>390</v>
      </c>
      <c r="C1" s="285" t="s">
        <v>391</v>
      </c>
      <c r="D1" s="286" t="s">
        <v>392</v>
      </c>
      <c r="E1" s="286" t="s">
        <v>393</v>
      </c>
      <c r="F1" s="286" t="s">
        <v>394</v>
      </c>
      <c r="G1" s="287" t="s">
        <v>395</v>
      </c>
      <c r="H1" s="287" t="s">
        <v>396</v>
      </c>
      <c r="I1" s="288" t="s">
        <v>397</v>
      </c>
      <c r="J1" s="289" t="s">
        <v>398</v>
      </c>
      <c r="K1" s="290" t="s">
        <v>14</v>
      </c>
      <c r="L1" s="290" t="s">
        <v>399</v>
      </c>
      <c r="M1" s="290" t="s">
        <v>400</v>
      </c>
      <c r="N1" s="290" t="s">
        <v>401</v>
      </c>
      <c r="O1" s="291" t="s">
        <v>17</v>
      </c>
      <c r="P1" s="292" t="s">
        <v>18</v>
      </c>
      <c r="Q1" s="292" t="s">
        <v>19</v>
      </c>
      <c r="R1" s="292" t="s">
        <v>20</v>
      </c>
      <c r="S1" s="292" t="s">
        <v>402</v>
      </c>
      <c r="T1" s="292" t="s">
        <v>403</v>
      </c>
      <c r="U1" s="292" t="s">
        <v>404</v>
      </c>
      <c r="V1" s="292" t="s">
        <v>405</v>
      </c>
      <c r="W1" s="292" t="s">
        <v>406</v>
      </c>
      <c r="X1" s="292" t="s">
        <v>407</v>
      </c>
      <c r="Y1" s="292" t="s">
        <v>408</v>
      </c>
      <c r="Z1" s="315"/>
    </row>
    <row r="2" spans="1:26" ht="28.5" x14ac:dyDescent="0.15">
      <c r="A2" s="19">
        <v>301</v>
      </c>
      <c r="B2" s="19"/>
      <c r="C2" s="19"/>
      <c r="D2" s="19" t="s">
        <v>1053</v>
      </c>
      <c r="E2" s="20" t="s">
        <v>367</v>
      </c>
      <c r="F2" s="20" t="s">
        <v>1054</v>
      </c>
      <c r="G2" s="20">
        <v>46093</v>
      </c>
      <c r="H2" s="20">
        <v>46093</v>
      </c>
      <c r="I2" s="19">
        <v>14665</v>
      </c>
      <c r="J2" s="20">
        <v>46099</v>
      </c>
      <c r="K2" s="20" t="s">
        <v>199</v>
      </c>
      <c r="L2" s="20" t="s">
        <v>1055</v>
      </c>
      <c r="M2" s="19" t="s">
        <v>1056</v>
      </c>
      <c r="N2" s="20">
        <v>46093</v>
      </c>
      <c r="O2" s="20">
        <v>46093</v>
      </c>
      <c r="P2" s="19" t="s">
        <v>1057</v>
      </c>
      <c r="Q2" s="19">
        <v>1111</v>
      </c>
      <c r="R2" s="19">
        <v>111111</v>
      </c>
      <c r="S2" s="19" t="s">
        <v>273</v>
      </c>
      <c r="T2" s="21" t="s">
        <v>1058</v>
      </c>
      <c r="U2" s="19"/>
      <c r="V2" s="19"/>
      <c r="W2" s="19"/>
      <c r="X2" s="21"/>
      <c r="Y2" s="19"/>
      <c r="Z2" s="19"/>
    </row>
    <row r="3" spans="1:26" ht="14.25" x14ac:dyDescent="0.15">
      <c r="A3" s="82">
        <v>302</v>
      </c>
      <c r="B3" s="82"/>
      <c r="C3" s="82"/>
      <c r="D3" s="82" t="s">
        <v>1053</v>
      </c>
      <c r="E3" s="83" t="s">
        <v>367</v>
      </c>
      <c r="F3" s="83" t="s">
        <v>1054</v>
      </c>
      <c r="G3" s="83">
        <v>46093</v>
      </c>
      <c r="H3" s="83">
        <v>46093</v>
      </c>
      <c r="I3" s="82">
        <v>14665</v>
      </c>
      <c r="J3" s="83">
        <v>46099</v>
      </c>
      <c r="K3" s="83"/>
      <c r="L3" s="83"/>
      <c r="M3" s="82"/>
      <c r="N3" s="83">
        <v>46093</v>
      </c>
      <c r="O3" s="83">
        <v>46093</v>
      </c>
      <c r="P3" s="82"/>
      <c r="Q3" s="82"/>
      <c r="R3" s="82"/>
      <c r="S3" s="82"/>
      <c r="T3" s="82"/>
      <c r="U3" s="82"/>
      <c r="V3" s="82"/>
      <c r="W3" s="82"/>
      <c r="X3" s="84"/>
      <c r="Y3" s="82"/>
      <c r="Z3" s="82"/>
    </row>
    <row r="4" spans="1:26" ht="14.25" x14ac:dyDescent="0.15">
      <c r="A4" s="82">
        <v>303</v>
      </c>
      <c r="B4" s="82"/>
      <c r="C4" s="82"/>
      <c r="D4" s="82" t="s">
        <v>1053</v>
      </c>
      <c r="E4" s="82" t="s">
        <v>1059</v>
      </c>
      <c r="F4" s="82" t="s">
        <v>1060</v>
      </c>
      <c r="G4" s="83">
        <v>46091</v>
      </c>
      <c r="H4" s="83">
        <v>46098</v>
      </c>
      <c r="I4" s="82">
        <v>1357</v>
      </c>
      <c r="J4" s="83">
        <v>46099</v>
      </c>
      <c r="K4" s="82" t="s">
        <v>1060</v>
      </c>
      <c r="L4" s="82" t="s">
        <v>1060</v>
      </c>
      <c r="M4" s="82"/>
      <c r="N4" s="83">
        <v>46099</v>
      </c>
      <c r="O4" s="83">
        <v>46098</v>
      </c>
      <c r="P4" s="82" t="s">
        <v>1060</v>
      </c>
      <c r="Q4" s="82"/>
      <c r="R4" s="82" t="s">
        <v>1060</v>
      </c>
      <c r="S4" s="82" t="s">
        <v>1060</v>
      </c>
      <c r="T4" s="82" t="s">
        <v>1060</v>
      </c>
      <c r="U4" s="82" t="s">
        <v>416</v>
      </c>
      <c r="V4" s="82" t="s">
        <v>416</v>
      </c>
      <c r="W4" s="82" t="s">
        <v>416</v>
      </c>
      <c r="X4" s="84"/>
      <c r="Y4" s="82"/>
      <c r="Z4" s="82"/>
    </row>
    <row r="5" spans="1:26" ht="14.25" x14ac:dyDescent="0.15">
      <c r="A5" s="82">
        <v>304</v>
      </c>
      <c r="B5" s="82"/>
      <c r="C5" s="82"/>
      <c r="D5" s="82" t="s">
        <v>1053</v>
      </c>
      <c r="E5" s="82" t="s">
        <v>1059</v>
      </c>
      <c r="F5" s="82" t="s">
        <v>1060</v>
      </c>
      <c r="G5" s="83">
        <v>46105</v>
      </c>
      <c r="H5" s="83">
        <v>46105</v>
      </c>
      <c r="I5" s="82">
        <v>5500</v>
      </c>
      <c r="J5" s="83">
        <v>46105</v>
      </c>
      <c r="K5" s="82" t="s">
        <v>1061</v>
      </c>
      <c r="L5" s="82" t="s">
        <v>1062</v>
      </c>
      <c r="M5" s="82"/>
      <c r="N5" s="83">
        <v>46105</v>
      </c>
      <c r="O5" s="83">
        <v>46105</v>
      </c>
      <c r="P5" s="82"/>
      <c r="Q5" s="82"/>
      <c r="R5" s="82"/>
      <c r="S5" s="82"/>
      <c r="T5" s="82"/>
      <c r="U5" s="82"/>
      <c r="V5" s="82"/>
      <c r="W5" s="82"/>
      <c r="X5" s="84"/>
      <c r="Y5" s="84"/>
      <c r="Z5" s="82"/>
    </row>
    <row r="6" spans="1:26" ht="14.25" x14ac:dyDescent="0.15">
      <c r="A6" s="82">
        <v>305</v>
      </c>
      <c r="B6" s="82"/>
      <c r="C6" s="82"/>
      <c r="D6" s="82" t="s">
        <v>1053</v>
      </c>
      <c r="E6" s="82" t="s">
        <v>367</v>
      </c>
      <c r="F6" s="82" t="s">
        <v>1119</v>
      </c>
      <c r="G6" s="83">
        <v>46125</v>
      </c>
      <c r="H6" s="83">
        <v>46125</v>
      </c>
      <c r="I6" s="82">
        <v>1100000</v>
      </c>
      <c r="J6" s="83">
        <v>46157</v>
      </c>
      <c r="K6" s="82" t="s">
        <v>1131</v>
      </c>
      <c r="L6" s="82"/>
      <c r="M6" s="82" t="s">
        <v>384</v>
      </c>
      <c r="N6" s="83">
        <v>46157</v>
      </c>
      <c r="O6" s="83">
        <v>46125</v>
      </c>
      <c r="P6" s="82" t="s">
        <v>1132</v>
      </c>
      <c r="Q6" s="82" t="s">
        <v>233</v>
      </c>
      <c r="R6" s="82" t="s">
        <v>234</v>
      </c>
      <c r="S6" s="82"/>
      <c r="T6" s="82" t="s">
        <v>1119</v>
      </c>
      <c r="U6" s="82"/>
      <c r="V6" s="82"/>
      <c r="W6" s="82"/>
      <c r="X6" s="82"/>
      <c r="Y6" s="82"/>
      <c r="Z6" s="82" t="s">
        <v>1133</v>
      </c>
    </row>
    <row r="7" spans="1:26" ht="14.25" x14ac:dyDescent="0.15">
      <c r="A7" s="82">
        <v>306</v>
      </c>
      <c r="B7" s="82"/>
      <c r="C7" s="82"/>
      <c r="D7" s="82" t="s">
        <v>1053</v>
      </c>
      <c r="E7" s="82" t="s">
        <v>367</v>
      </c>
      <c r="F7" s="82" t="s">
        <v>1119</v>
      </c>
      <c r="G7" s="83">
        <v>46125</v>
      </c>
      <c r="H7" s="83">
        <v>46125</v>
      </c>
      <c r="I7" s="82">
        <v>1000000</v>
      </c>
      <c r="J7" s="83">
        <v>46160</v>
      </c>
      <c r="K7" s="82" t="s">
        <v>1131</v>
      </c>
      <c r="L7" s="82"/>
      <c r="M7" s="82" t="s">
        <v>384</v>
      </c>
      <c r="N7" s="83">
        <v>46157</v>
      </c>
      <c r="O7" s="83">
        <v>46125</v>
      </c>
      <c r="P7" s="82" t="s">
        <v>1132</v>
      </c>
      <c r="Q7" s="82" t="s">
        <v>233</v>
      </c>
      <c r="R7" s="82" t="s">
        <v>234</v>
      </c>
      <c r="S7" s="82"/>
      <c r="T7" s="82" t="s">
        <v>1119</v>
      </c>
      <c r="U7" s="82"/>
      <c r="V7" s="82"/>
      <c r="W7" s="82"/>
      <c r="X7" s="84"/>
      <c r="Y7" s="82"/>
      <c r="Z7" s="82" t="s">
        <v>1133</v>
      </c>
    </row>
    <row r="8" spans="1:26" ht="14.25" x14ac:dyDescent="0.15">
      <c r="A8" s="82">
        <v>307</v>
      </c>
      <c r="B8" s="82"/>
      <c r="C8" s="82"/>
      <c r="D8" s="82" t="s">
        <v>1053</v>
      </c>
      <c r="E8" s="82" t="s">
        <v>1059</v>
      </c>
      <c r="F8" s="82" t="s">
        <v>1124</v>
      </c>
      <c r="G8" s="83">
        <v>46113</v>
      </c>
      <c r="H8" s="83">
        <v>46143</v>
      </c>
      <c r="I8" s="82">
        <v>505150000</v>
      </c>
      <c r="J8" s="83">
        <v>46160</v>
      </c>
      <c r="K8" s="82" t="s">
        <v>1139</v>
      </c>
      <c r="L8" s="82"/>
      <c r="M8" s="82" t="s">
        <v>528</v>
      </c>
      <c r="N8" s="83">
        <v>46204</v>
      </c>
      <c r="O8" s="83">
        <v>46174</v>
      </c>
      <c r="P8" s="82" t="s">
        <v>1140</v>
      </c>
      <c r="Q8" s="82" t="s">
        <v>233</v>
      </c>
      <c r="R8" s="82" t="s">
        <v>234</v>
      </c>
      <c r="S8" s="82"/>
      <c r="T8" s="82"/>
      <c r="U8" s="82"/>
      <c r="V8" s="82"/>
      <c r="W8" s="82"/>
      <c r="X8" s="84"/>
      <c r="Y8" s="82"/>
      <c r="Z8" s="82" t="s">
        <v>1141</v>
      </c>
    </row>
    <row r="9" spans="1:26" ht="14.25" x14ac:dyDescent="0.15">
      <c r="A9" s="82">
        <v>308</v>
      </c>
      <c r="B9" s="82"/>
      <c r="C9" s="82"/>
      <c r="D9" s="82" t="s">
        <v>1053</v>
      </c>
      <c r="E9" s="82" t="s">
        <v>1059</v>
      </c>
      <c r="F9" s="82" t="s">
        <v>1124</v>
      </c>
      <c r="G9" s="83">
        <v>46113</v>
      </c>
      <c r="H9" s="83">
        <v>46143</v>
      </c>
      <c r="I9" s="82">
        <v>555665000</v>
      </c>
      <c r="J9" s="83">
        <v>46160</v>
      </c>
      <c r="K9" s="82" t="s">
        <v>1139</v>
      </c>
      <c r="L9" s="82"/>
      <c r="M9" s="82" t="s">
        <v>528</v>
      </c>
      <c r="N9" s="83">
        <v>46204</v>
      </c>
      <c r="O9" s="83">
        <v>46174</v>
      </c>
      <c r="P9" s="82" t="s">
        <v>1140</v>
      </c>
      <c r="Q9" s="82" t="s">
        <v>233</v>
      </c>
      <c r="R9" s="82" t="s">
        <v>234</v>
      </c>
      <c r="S9" s="82"/>
      <c r="T9" s="82"/>
      <c r="U9" s="82"/>
      <c r="V9" s="82"/>
      <c r="W9" s="82"/>
      <c r="X9" s="84"/>
      <c r="Y9" s="82"/>
      <c r="Z9" s="82" t="s">
        <v>1141</v>
      </c>
    </row>
    <row r="10" spans="1:26" ht="14.25" x14ac:dyDescent="0.15">
      <c r="A10" s="82">
        <v>309</v>
      </c>
      <c r="B10" s="82"/>
      <c r="C10" s="82"/>
      <c r="D10" s="82" t="s">
        <v>1053</v>
      </c>
      <c r="E10" s="82" t="s">
        <v>1059</v>
      </c>
      <c r="F10" s="82" t="s">
        <v>1142</v>
      </c>
      <c r="G10" s="83">
        <v>46113</v>
      </c>
      <c r="H10" s="83">
        <v>46143</v>
      </c>
      <c r="I10" s="82">
        <v>555665000</v>
      </c>
      <c r="J10" s="83">
        <v>46160</v>
      </c>
      <c r="K10" s="82" t="s">
        <v>1139</v>
      </c>
      <c r="L10" s="82"/>
      <c r="M10" s="82" t="s">
        <v>528</v>
      </c>
      <c r="N10" s="83">
        <v>46204</v>
      </c>
      <c r="O10" s="83">
        <v>46174</v>
      </c>
      <c r="P10" s="82" t="s">
        <v>1140</v>
      </c>
      <c r="Q10" s="82" t="s">
        <v>233</v>
      </c>
      <c r="R10" s="82" t="s">
        <v>234</v>
      </c>
      <c r="S10" s="82"/>
      <c r="T10" s="82" t="s">
        <v>1138</v>
      </c>
      <c r="U10" s="82"/>
      <c r="V10" s="82"/>
      <c r="W10" s="82"/>
      <c r="X10" s="84"/>
      <c r="Y10" s="82"/>
      <c r="Z10" s="82" t="s">
        <v>1141</v>
      </c>
    </row>
    <row r="11" spans="1:26" ht="14.25" x14ac:dyDescent="0.15">
      <c r="A11" s="82">
        <v>310</v>
      </c>
      <c r="B11" s="82"/>
      <c r="C11" s="82"/>
      <c r="D11" s="82" t="s">
        <v>1053</v>
      </c>
      <c r="E11" s="82" t="s">
        <v>367</v>
      </c>
      <c r="F11" s="82" t="s">
        <v>1119</v>
      </c>
      <c r="G11" s="83">
        <v>46125</v>
      </c>
      <c r="H11" s="83">
        <v>46125</v>
      </c>
      <c r="I11" s="82">
        <v>15000000</v>
      </c>
      <c r="J11" s="83">
        <v>46160</v>
      </c>
      <c r="K11" s="82" t="s">
        <v>1131</v>
      </c>
      <c r="L11" s="82"/>
      <c r="M11" s="82" t="s">
        <v>384</v>
      </c>
      <c r="N11" s="83">
        <v>46157</v>
      </c>
      <c r="O11" s="83">
        <v>46125</v>
      </c>
      <c r="P11" s="82" t="s">
        <v>1132</v>
      </c>
      <c r="Q11" s="82" t="s">
        <v>233</v>
      </c>
      <c r="R11" s="82" t="s">
        <v>234</v>
      </c>
      <c r="S11" s="82"/>
      <c r="T11" s="82" t="s">
        <v>1119</v>
      </c>
      <c r="U11" s="82"/>
      <c r="V11" s="82"/>
      <c r="W11" s="82"/>
      <c r="X11" s="84"/>
      <c r="Y11" s="82"/>
      <c r="Z11" s="82" t="s">
        <v>1143</v>
      </c>
    </row>
    <row r="12" spans="1:26" ht="14.25" x14ac:dyDescent="0.15">
      <c r="A12" s="82">
        <v>311</v>
      </c>
      <c r="B12" s="82"/>
      <c r="C12" s="82"/>
      <c r="D12" s="82" t="s">
        <v>1053</v>
      </c>
      <c r="E12" s="82" t="s">
        <v>367</v>
      </c>
      <c r="F12" s="82" t="s">
        <v>1119</v>
      </c>
      <c r="G12" s="83">
        <v>46125</v>
      </c>
      <c r="H12" s="83">
        <v>46125</v>
      </c>
      <c r="I12" s="82">
        <v>16500000</v>
      </c>
      <c r="J12" s="83">
        <v>46160</v>
      </c>
      <c r="K12" s="82" t="s">
        <v>1131</v>
      </c>
      <c r="L12" s="82"/>
      <c r="M12" s="82" t="s">
        <v>384</v>
      </c>
      <c r="N12" s="83">
        <v>46157</v>
      </c>
      <c r="O12" s="83">
        <v>46125</v>
      </c>
      <c r="P12" s="82" t="s">
        <v>1132</v>
      </c>
      <c r="Q12" s="82" t="s">
        <v>233</v>
      </c>
      <c r="R12" s="82" t="s">
        <v>234</v>
      </c>
      <c r="S12" s="82"/>
      <c r="T12" s="82" t="s">
        <v>1119</v>
      </c>
      <c r="U12" s="82"/>
      <c r="V12" s="82"/>
      <c r="W12" s="82"/>
      <c r="X12" s="84"/>
      <c r="Y12" s="82"/>
      <c r="Z12" s="82" t="s">
        <v>1143</v>
      </c>
    </row>
    <row r="13" spans="1:26" ht="14.25" x14ac:dyDescent="0.15">
      <c r="A13" s="19">
        <v>312</v>
      </c>
      <c r="B13" s="19"/>
      <c r="C13" s="19"/>
      <c r="D13" s="19" t="s">
        <v>1053</v>
      </c>
      <c r="E13" s="19" t="s">
        <v>367</v>
      </c>
      <c r="F13" s="19" t="s">
        <v>1119</v>
      </c>
      <c r="G13" s="20">
        <v>46125</v>
      </c>
      <c r="H13" s="20">
        <v>46125</v>
      </c>
      <c r="I13" s="19">
        <v>16500000</v>
      </c>
      <c r="J13" s="20">
        <v>46160</v>
      </c>
      <c r="K13" s="19" t="s">
        <v>1131</v>
      </c>
      <c r="L13" s="19"/>
      <c r="M13" s="19" t="s">
        <v>384</v>
      </c>
      <c r="N13" s="20">
        <v>46157</v>
      </c>
      <c r="O13" s="20">
        <v>46125</v>
      </c>
      <c r="P13" s="19" t="s">
        <v>1132</v>
      </c>
      <c r="Q13" s="19" t="s">
        <v>233</v>
      </c>
      <c r="R13" s="19" t="s">
        <v>234</v>
      </c>
      <c r="S13" s="19"/>
      <c r="T13" s="19" t="s">
        <v>1119</v>
      </c>
      <c r="U13" s="19"/>
      <c r="V13" s="19"/>
      <c r="W13" s="19"/>
      <c r="X13" s="21"/>
      <c r="Y13" s="19"/>
      <c r="Z13" s="19" t="s">
        <v>1143</v>
      </c>
    </row>
    <row r="14" spans="1:26" ht="14.25" x14ac:dyDescent="0.15">
      <c r="A14" s="19"/>
      <c r="B14" s="19"/>
      <c r="C14" s="19"/>
      <c r="D14" s="19"/>
      <c r="E14" s="19"/>
      <c r="F14" s="19"/>
      <c r="G14" s="20"/>
      <c r="H14" s="20"/>
      <c r="I14" s="19"/>
      <c r="J14" s="20"/>
      <c r="K14" s="19"/>
      <c r="L14" s="19"/>
      <c r="M14" s="19"/>
      <c r="N14" s="20"/>
      <c r="O14" s="20"/>
      <c r="P14" s="19"/>
      <c r="Q14" s="19"/>
      <c r="R14" s="19"/>
      <c r="S14" s="19"/>
      <c r="T14" s="19"/>
      <c r="U14" s="19"/>
      <c r="V14" s="19"/>
      <c r="W14" s="19"/>
      <c r="X14" s="21"/>
      <c r="Y14" s="19"/>
      <c r="Z14" s="19"/>
    </row>
    <row r="15" spans="1:26" ht="14.25" x14ac:dyDescent="0.15">
      <c r="A15" s="19"/>
      <c r="B15" s="19"/>
      <c r="C15" s="19"/>
      <c r="D15" s="19"/>
      <c r="E15" s="19"/>
      <c r="F15" s="19"/>
      <c r="G15" s="20"/>
      <c r="H15" s="20"/>
      <c r="I15" s="19"/>
      <c r="J15" s="20"/>
      <c r="K15" s="19"/>
      <c r="L15" s="19"/>
      <c r="M15" s="19"/>
      <c r="N15" s="20"/>
      <c r="O15" s="20"/>
      <c r="P15" s="19"/>
      <c r="Q15" s="19"/>
      <c r="R15" s="19"/>
      <c r="S15" s="19"/>
      <c r="T15" s="19"/>
      <c r="U15" s="19"/>
      <c r="V15" s="19"/>
      <c r="W15" s="19"/>
      <c r="X15" s="19"/>
      <c r="Y15" s="19"/>
      <c r="Z15" s="19"/>
    </row>
  </sheetData>
  <phoneticPr fontId="3"/>
  <conditionalFormatting sqref="J1:Y1">
    <cfRule type="cellIs" dxfId="34" priority="1" stopIfTrue="1" operator="equal">
      <formula>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64EF6-A9B8-48E5-8A25-FD1AA9333BAF}">
  <sheetPr codeName="Sheet10"/>
  <dimension ref="A1:H30"/>
  <sheetViews>
    <sheetView workbookViewId="0"/>
  </sheetViews>
  <sheetFormatPr defaultRowHeight="12" x14ac:dyDescent="0.15"/>
  <sheetData>
    <row r="1" spans="1:8" ht="19.5" x14ac:dyDescent="0.15">
      <c r="A1" s="298" t="s">
        <v>182</v>
      </c>
      <c r="B1" s="299" t="s">
        <v>183</v>
      </c>
      <c r="C1" s="8"/>
      <c r="D1" s="8"/>
      <c r="E1" s="8"/>
      <c r="F1" s="300" t="s">
        <v>184</v>
      </c>
      <c r="G1" s="300" t="s">
        <v>185</v>
      </c>
      <c r="H1" s="8"/>
    </row>
    <row r="2" spans="1:8" ht="57" x14ac:dyDescent="0.15">
      <c r="A2" s="45" t="s">
        <v>132</v>
      </c>
      <c r="B2" s="46" t="s">
        <v>131</v>
      </c>
      <c r="C2" s="8"/>
      <c r="D2" s="8"/>
      <c r="E2" s="8"/>
      <c r="F2" s="296" t="s">
        <v>186</v>
      </c>
      <c r="G2" s="296" t="s">
        <v>202</v>
      </c>
      <c r="H2" s="8" t="s">
        <v>311</v>
      </c>
    </row>
    <row r="3" spans="1:8" ht="57" x14ac:dyDescent="0.15">
      <c r="A3" s="45" t="s">
        <v>206</v>
      </c>
      <c r="B3" s="46" t="s">
        <v>137</v>
      </c>
      <c r="C3" s="8"/>
      <c r="D3" s="8"/>
      <c r="E3" s="8"/>
      <c r="F3" s="297" t="s">
        <v>187</v>
      </c>
      <c r="G3" s="297" t="s">
        <v>203</v>
      </c>
      <c r="H3" s="8"/>
    </row>
    <row r="4" spans="1:8" ht="71.25" x14ac:dyDescent="0.15">
      <c r="A4" s="45" t="s">
        <v>140</v>
      </c>
      <c r="B4" s="46" t="s">
        <v>139</v>
      </c>
      <c r="C4" s="8"/>
      <c r="D4" s="8"/>
      <c r="E4" s="8"/>
      <c r="F4" s="297" t="s">
        <v>1063</v>
      </c>
      <c r="G4" s="297" t="s">
        <v>188</v>
      </c>
      <c r="H4" s="8"/>
    </row>
    <row r="5" spans="1:8" ht="57" x14ac:dyDescent="0.15">
      <c r="A5" s="45" t="s">
        <v>142</v>
      </c>
      <c r="B5" s="46" t="s">
        <v>141</v>
      </c>
      <c r="C5" s="8"/>
      <c r="D5" s="8"/>
      <c r="E5" s="8"/>
      <c r="F5" s="297" t="s">
        <v>312</v>
      </c>
      <c r="G5" s="297" t="s">
        <v>189</v>
      </c>
      <c r="H5" s="8"/>
    </row>
    <row r="6" spans="1:8" ht="57" x14ac:dyDescent="0.15">
      <c r="A6" s="45" t="s">
        <v>145</v>
      </c>
      <c r="B6" s="46" t="s">
        <v>144</v>
      </c>
      <c r="C6" s="8"/>
      <c r="D6" s="8"/>
      <c r="E6" s="8"/>
      <c r="F6" s="297" t="s">
        <v>1063</v>
      </c>
      <c r="G6" s="297" t="s">
        <v>204</v>
      </c>
      <c r="H6" s="8"/>
    </row>
    <row r="7" spans="1:8" ht="57" x14ac:dyDescent="0.15">
      <c r="A7" s="47" t="s">
        <v>147</v>
      </c>
      <c r="B7" s="46" t="s">
        <v>146</v>
      </c>
      <c r="C7" s="8"/>
      <c r="D7" s="8"/>
      <c r="E7" s="8"/>
      <c r="F7" s="8"/>
      <c r="G7" s="8"/>
      <c r="H7" s="8"/>
    </row>
    <row r="8" spans="1:8" ht="57" x14ac:dyDescent="0.15">
      <c r="A8" s="45" t="s">
        <v>149</v>
      </c>
      <c r="B8" s="46" t="s">
        <v>148</v>
      </c>
      <c r="C8" s="8"/>
      <c r="D8" s="8"/>
      <c r="E8" s="8"/>
      <c r="F8" s="8"/>
      <c r="G8" s="8"/>
      <c r="H8" s="8"/>
    </row>
    <row r="9" spans="1:8" ht="57" x14ac:dyDescent="0.15">
      <c r="A9" s="45" t="s">
        <v>151</v>
      </c>
      <c r="B9" s="46" t="s">
        <v>150</v>
      </c>
      <c r="C9" s="8"/>
      <c r="D9" s="8"/>
      <c r="E9" s="8"/>
      <c r="F9" s="8"/>
      <c r="G9" s="8"/>
      <c r="H9" s="8"/>
    </row>
    <row r="10" spans="1:8" ht="42.75" x14ac:dyDescent="0.15">
      <c r="A10" s="45" t="s">
        <v>262</v>
      </c>
      <c r="B10" s="46" t="s">
        <v>152</v>
      </c>
      <c r="C10" s="8"/>
      <c r="D10" s="8"/>
      <c r="E10" s="8"/>
      <c r="F10" s="8"/>
      <c r="G10" s="8"/>
      <c r="H10" s="8"/>
    </row>
    <row r="11" spans="1:8" ht="57" x14ac:dyDescent="0.15">
      <c r="A11" s="45" t="s">
        <v>156</v>
      </c>
      <c r="B11" s="46" t="s">
        <v>155</v>
      </c>
      <c r="C11" s="8"/>
      <c r="D11" s="8"/>
      <c r="E11" s="8"/>
      <c r="F11" s="8"/>
      <c r="G11" s="8"/>
      <c r="H11" s="8"/>
    </row>
    <row r="12" spans="1:8" ht="57" x14ac:dyDescent="0.15">
      <c r="A12" s="45" t="s">
        <v>158</v>
      </c>
      <c r="B12" s="46" t="s">
        <v>157</v>
      </c>
      <c r="C12" s="8"/>
      <c r="D12" s="8"/>
      <c r="E12" s="8"/>
      <c r="F12" s="8"/>
      <c r="G12" s="8"/>
      <c r="H12" s="8"/>
    </row>
    <row r="13" spans="1:8" ht="57" x14ac:dyDescent="0.15">
      <c r="A13" s="47" t="s">
        <v>162</v>
      </c>
      <c r="B13" s="46" t="s">
        <v>266</v>
      </c>
      <c r="C13" s="8"/>
      <c r="D13" s="8"/>
      <c r="E13" s="8"/>
      <c r="F13" s="8"/>
      <c r="G13" s="8"/>
      <c r="H13" s="8"/>
    </row>
    <row r="14" spans="1:8" ht="57" x14ac:dyDescent="0.15">
      <c r="A14" s="47" t="s">
        <v>164</v>
      </c>
      <c r="B14" s="46" t="s">
        <v>163</v>
      </c>
      <c r="C14" s="8"/>
      <c r="D14" s="8"/>
      <c r="E14" s="8"/>
      <c r="F14" s="8"/>
      <c r="G14" s="8"/>
      <c r="H14" s="8"/>
    </row>
    <row r="15" spans="1:8" ht="57" x14ac:dyDescent="0.15">
      <c r="A15" s="48" t="s">
        <v>166</v>
      </c>
      <c r="B15" s="46" t="s">
        <v>165</v>
      </c>
      <c r="C15" s="8"/>
      <c r="D15" s="8"/>
      <c r="E15" s="8"/>
      <c r="F15" s="8"/>
      <c r="G15" s="8"/>
      <c r="H15" s="8"/>
    </row>
    <row r="16" spans="1:8" ht="57" x14ac:dyDescent="0.15">
      <c r="A16" s="48" t="s">
        <v>169</v>
      </c>
      <c r="B16" s="46" t="s">
        <v>168</v>
      </c>
      <c r="C16" s="8"/>
      <c r="D16" s="8"/>
      <c r="E16" s="8"/>
      <c r="F16" s="8"/>
      <c r="G16" s="8"/>
      <c r="H16" s="8"/>
    </row>
    <row r="17" spans="1:8" ht="57" x14ac:dyDescent="0.15">
      <c r="A17" s="48" t="s">
        <v>171</v>
      </c>
      <c r="B17" s="46" t="s">
        <v>170</v>
      </c>
      <c r="C17" s="8"/>
      <c r="D17" s="8"/>
      <c r="E17" s="8"/>
      <c r="F17" s="8"/>
      <c r="G17" s="8"/>
      <c r="H17" s="8"/>
    </row>
    <row r="18" spans="1:8" ht="57" x14ac:dyDescent="0.15">
      <c r="A18" s="48" t="s">
        <v>172</v>
      </c>
      <c r="B18" s="46">
        <v>29</v>
      </c>
      <c r="C18" s="8"/>
      <c r="D18" s="8"/>
      <c r="E18" s="8"/>
      <c r="F18" s="8"/>
      <c r="G18" s="8"/>
      <c r="H18" s="8"/>
    </row>
    <row r="19" spans="1:8" ht="57" x14ac:dyDescent="0.15">
      <c r="A19" s="48" t="s">
        <v>173</v>
      </c>
      <c r="B19" s="46">
        <v>30</v>
      </c>
      <c r="C19" s="8"/>
      <c r="D19" s="8"/>
      <c r="E19" s="8"/>
      <c r="F19" s="8"/>
      <c r="G19" s="8"/>
      <c r="H19" s="8"/>
    </row>
    <row r="20" spans="1:8" ht="57" x14ac:dyDescent="0.15">
      <c r="A20" s="48" t="s">
        <v>175</v>
      </c>
      <c r="B20" s="46">
        <v>31</v>
      </c>
      <c r="C20" s="8"/>
      <c r="D20" s="8"/>
      <c r="E20" s="8"/>
      <c r="F20" s="8"/>
      <c r="G20" s="8"/>
      <c r="H20" s="8"/>
    </row>
    <row r="21" spans="1:8" ht="57" x14ac:dyDescent="0.15">
      <c r="A21" s="48" t="s">
        <v>177</v>
      </c>
      <c r="B21" s="46">
        <v>32</v>
      </c>
      <c r="C21" s="8"/>
      <c r="D21" s="8"/>
      <c r="E21" s="8"/>
      <c r="F21" s="8"/>
      <c r="G21" s="8"/>
      <c r="H21" s="8"/>
    </row>
    <row r="22" spans="1:8" ht="57" x14ac:dyDescent="0.15">
      <c r="A22" s="48" t="s">
        <v>179</v>
      </c>
      <c r="B22" s="46">
        <v>33</v>
      </c>
      <c r="C22" s="8"/>
      <c r="D22" s="8"/>
      <c r="E22" s="8"/>
      <c r="F22" s="8"/>
      <c r="G22" s="8"/>
      <c r="H22" s="8"/>
    </row>
    <row r="23" spans="1:8" ht="42.75" x14ac:dyDescent="0.15">
      <c r="A23" s="48" t="s">
        <v>181</v>
      </c>
      <c r="B23" s="46">
        <v>34</v>
      </c>
      <c r="C23" s="8"/>
      <c r="D23" s="8"/>
      <c r="E23" s="8"/>
      <c r="F23" s="8"/>
      <c r="G23" s="8"/>
      <c r="H23" s="8"/>
    </row>
    <row r="24" spans="1:8" ht="57" x14ac:dyDescent="0.15">
      <c r="A24" s="48" t="s">
        <v>365</v>
      </c>
      <c r="B24" s="46" t="s">
        <v>1064</v>
      </c>
      <c r="C24" s="8" t="s">
        <v>265</v>
      </c>
      <c r="D24" s="8"/>
      <c r="E24" s="8"/>
      <c r="F24" s="8"/>
      <c r="G24" s="8"/>
      <c r="H24" s="8"/>
    </row>
    <row r="25" spans="1:8" ht="128.25" x14ac:dyDescent="0.15">
      <c r="A25" s="48" t="s">
        <v>366</v>
      </c>
      <c r="B25" s="46">
        <v>50</v>
      </c>
      <c r="C25" s="8"/>
      <c r="D25" s="8"/>
      <c r="E25" s="8"/>
      <c r="F25" s="8"/>
      <c r="G25" s="8"/>
      <c r="H25" s="8"/>
    </row>
    <row r="26" spans="1:8" ht="14.25" x14ac:dyDescent="0.15">
      <c r="A26" s="85"/>
      <c r="B26" s="14"/>
      <c r="C26" s="8"/>
      <c r="D26" s="8"/>
      <c r="E26" s="8"/>
      <c r="F26" s="8"/>
      <c r="G26" s="8"/>
      <c r="H26" s="8"/>
    </row>
    <row r="27" spans="1:8" ht="14.25" x14ac:dyDescent="0.15">
      <c r="A27" s="85"/>
      <c r="B27" s="14"/>
      <c r="C27" s="8"/>
      <c r="D27" s="8"/>
      <c r="E27" s="8"/>
      <c r="F27" s="8"/>
      <c r="G27" s="8"/>
      <c r="H27" s="8"/>
    </row>
    <row r="28" spans="1:8" ht="14.25" x14ac:dyDescent="0.15">
      <c r="A28" s="85"/>
      <c r="B28" s="14"/>
      <c r="C28" s="8"/>
      <c r="D28" s="8"/>
      <c r="E28" s="8"/>
      <c r="F28" s="8"/>
      <c r="G28" s="8"/>
      <c r="H28" s="8"/>
    </row>
    <row r="29" spans="1:8" ht="14.25" x14ac:dyDescent="0.15">
      <c r="A29" s="85"/>
      <c r="B29" s="14"/>
      <c r="C29" s="8"/>
      <c r="D29" s="8"/>
      <c r="E29" s="8"/>
      <c r="F29" s="8"/>
      <c r="G29" s="8"/>
      <c r="H29" s="8"/>
    </row>
    <row r="30" spans="1:8" ht="14.25" x14ac:dyDescent="0.15">
      <c r="A30" s="85"/>
      <c r="B30" s="14"/>
      <c r="C30" s="8"/>
      <c r="D30" s="8"/>
      <c r="E30" s="8"/>
      <c r="F30" s="8"/>
      <c r="G30" s="8"/>
      <c r="H30" s="8"/>
    </row>
  </sheetData>
  <phoneticPr fontId="3"/>
  <conditionalFormatting sqref="A26:A30">
    <cfRule type="expression" dxfId="33" priority="34">
      <formula>MOD(ROW(),2)=1</formula>
    </cfRule>
  </conditionalFormatting>
  <conditionalFormatting sqref="B26:B30">
    <cfRule type="expression" dxfId="32" priority="33">
      <formula>MOD(ROW(),2)=1</formula>
    </cfRule>
  </conditionalFormatting>
  <conditionalFormatting sqref="A2:B2">
    <cfRule type="expression" dxfId="31" priority="32">
      <formula>MOD(ROW(),2)=1</formula>
    </cfRule>
  </conditionalFormatting>
  <conditionalFormatting sqref="A3:B3">
    <cfRule type="expression" dxfId="30" priority="31">
      <formula>MOD(ROW(),2)=1</formula>
    </cfRule>
  </conditionalFormatting>
  <conditionalFormatting sqref="A4:B4">
    <cfRule type="expression" dxfId="29" priority="30">
      <formula>MOD(ROW(),2)=1</formula>
    </cfRule>
  </conditionalFormatting>
  <conditionalFormatting sqref="A5:B5">
    <cfRule type="expression" dxfId="28" priority="29">
      <formula>MOD(ROW(),2)=1</formula>
    </cfRule>
  </conditionalFormatting>
  <conditionalFormatting sqref="A6:B6">
    <cfRule type="expression" dxfId="27" priority="28">
      <formula>MOD(ROW(),2)=1</formula>
    </cfRule>
  </conditionalFormatting>
  <conditionalFormatting sqref="A7:B7">
    <cfRule type="expression" dxfId="26" priority="27">
      <formula>MOD(ROW(),2)=1</formula>
    </cfRule>
  </conditionalFormatting>
  <conditionalFormatting sqref="A8:B8">
    <cfRule type="expression" dxfId="25" priority="26">
      <formula>MOD(ROW(),2)=1</formula>
    </cfRule>
  </conditionalFormatting>
  <conditionalFormatting sqref="A9:B9">
    <cfRule type="expression" dxfId="24" priority="25">
      <formula>MOD(ROW(),2)=1</formula>
    </cfRule>
  </conditionalFormatting>
  <conditionalFormatting sqref="A10:B10">
    <cfRule type="expression" dxfId="23" priority="24">
      <formula>MOD(ROW(),2)=1</formula>
    </cfRule>
  </conditionalFormatting>
  <conditionalFormatting sqref="A11:B11">
    <cfRule type="expression" dxfId="22" priority="23">
      <formula>MOD(ROW(),2)=1</formula>
    </cfRule>
  </conditionalFormatting>
  <conditionalFormatting sqref="A12:B12">
    <cfRule type="expression" dxfId="21" priority="22">
      <formula>MOD(ROW(),2)=1</formula>
    </cfRule>
  </conditionalFormatting>
  <conditionalFormatting sqref="A13:B13">
    <cfRule type="expression" dxfId="20" priority="21">
      <formula>MOD(ROW(),2)=1</formula>
    </cfRule>
  </conditionalFormatting>
  <conditionalFormatting sqref="A14:B14">
    <cfRule type="expression" dxfId="19" priority="20">
      <formula>MOD(ROW(),2)=1</formula>
    </cfRule>
  </conditionalFormatting>
  <conditionalFormatting sqref="A15:B15">
    <cfRule type="expression" dxfId="18" priority="19">
      <formula>MOD(ROW(),2)=1</formula>
    </cfRule>
  </conditionalFormatting>
  <conditionalFormatting sqref="A16:B16">
    <cfRule type="expression" dxfId="17" priority="18">
      <formula>MOD(ROW(),2)=1</formula>
    </cfRule>
  </conditionalFormatting>
  <conditionalFormatting sqref="A17:B17">
    <cfRule type="expression" dxfId="16" priority="17">
      <formula>MOD(ROW(),2)=1</formula>
    </cfRule>
  </conditionalFormatting>
  <conditionalFormatting sqref="A18">
    <cfRule type="expression" dxfId="15" priority="16">
      <formula>MOD(ROW(),2)=1</formula>
    </cfRule>
  </conditionalFormatting>
  <conditionalFormatting sqref="B18">
    <cfRule type="expression" dxfId="14" priority="15">
      <formula>MOD(ROW(),2)=1</formula>
    </cfRule>
  </conditionalFormatting>
  <conditionalFormatting sqref="A19">
    <cfRule type="expression" dxfId="13" priority="14">
      <formula>MOD(ROW(),2)=1</formula>
    </cfRule>
  </conditionalFormatting>
  <conditionalFormatting sqref="B19">
    <cfRule type="expression" dxfId="12" priority="13">
      <formula>MOD(ROW(),2)=1</formula>
    </cfRule>
  </conditionalFormatting>
  <conditionalFormatting sqref="A20">
    <cfRule type="expression" dxfId="11" priority="12">
      <formula>MOD(ROW(),2)=1</formula>
    </cfRule>
  </conditionalFormatting>
  <conditionalFormatting sqref="B20">
    <cfRule type="expression" dxfId="10" priority="11">
      <formula>MOD(ROW(),2)=1</formula>
    </cfRule>
  </conditionalFormatting>
  <conditionalFormatting sqref="A21">
    <cfRule type="expression" dxfId="9" priority="10">
      <formula>MOD(ROW(),2)=1</formula>
    </cfRule>
  </conditionalFormatting>
  <conditionalFormatting sqref="B21">
    <cfRule type="expression" dxfId="8" priority="9">
      <formula>MOD(ROW(),2)=1</formula>
    </cfRule>
  </conditionalFormatting>
  <conditionalFormatting sqref="A22">
    <cfRule type="expression" dxfId="7" priority="8">
      <formula>MOD(ROW(),2)=1</formula>
    </cfRule>
  </conditionalFormatting>
  <conditionalFormatting sqref="B22">
    <cfRule type="expression" dxfId="6" priority="7">
      <formula>MOD(ROW(),2)=1</formula>
    </cfRule>
  </conditionalFormatting>
  <conditionalFormatting sqref="A23">
    <cfRule type="expression" dxfId="5" priority="6">
      <formula>MOD(ROW(),2)=1</formula>
    </cfRule>
  </conditionalFormatting>
  <conditionalFormatting sqref="B23">
    <cfRule type="expression" dxfId="4" priority="5">
      <formula>MOD(ROW(),2)=1</formula>
    </cfRule>
  </conditionalFormatting>
  <conditionalFormatting sqref="A24">
    <cfRule type="expression" dxfId="3" priority="4">
      <formula>MOD(ROW(),2)=1</formula>
    </cfRule>
  </conditionalFormatting>
  <conditionalFormatting sqref="B24">
    <cfRule type="expression" dxfId="2" priority="3">
      <formula>MOD(ROW(),2)=1</formula>
    </cfRule>
  </conditionalFormatting>
  <conditionalFormatting sqref="A25">
    <cfRule type="expression" dxfId="1" priority="2">
      <formula>MOD(ROW(),2)=1</formula>
    </cfRule>
  </conditionalFormatting>
  <conditionalFormatting sqref="B25">
    <cfRule type="expression" dxfId="0" priority="1">
      <formula>MOD(ROW(),2)=1</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01480-49E4-41DB-B817-29A57535CC83}">
  <sheetPr codeName="Sheet11"/>
  <dimension ref="A1:I83"/>
  <sheetViews>
    <sheetView workbookViewId="0"/>
  </sheetViews>
  <sheetFormatPr defaultRowHeight="12" x14ac:dyDescent="0.15"/>
  <sheetData>
    <row r="1" spans="1:9" ht="18.75" x14ac:dyDescent="0.15">
      <c r="A1" s="306" t="s">
        <v>190</v>
      </c>
      <c r="B1" s="306" t="s">
        <v>191</v>
      </c>
      <c r="C1" s="306" t="s">
        <v>192</v>
      </c>
      <c r="D1" s="306" t="s">
        <v>263</v>
      </c>
      <c r="E1" s="306" t="s">
        <v>264</v>
      </c>
      <c r="F1" s="302"/>
      <c r="G1" s="306" t="s">
        <v>193</v>
      </c>
      <c r="H1" s="302"/>
      <c r="I1" s="306" t="s">
        <v>194</v>
      </c>
    </row>
    <row r="2" spans="1:9" ht="18.75" x14ac:dyDescent="0.15">
      <c r="A2" s="303" t="s">
        <v>232</v>
      </c>
      <c r="B2" s="303" t="s">
        <v>239</v>
      </c>
      <c r="C2" s="303" t="s">
        <v>240</v>
      </c>
      <c r="D2" s="304" t="s">
        <v>241</v>
      </c>
      <c r="E2" s="304" t="s">
        <v>244</v>
      </c>
      <c r="F2" s="303"/>
      <c r="G2" s="303" t="s">
        <v>195</v>
      </c>
      <c r="H2" s="303"/>
      <c r="I2" s="303" t="s">
        <v>196</v>
      </c>
    </row>
    <row r="3" spans="1:9" ht="18.75" x14ac:dyDescent="0.15">
      <c r="A3" s="303" t="s">
        <v>236</v>
      </c>
      <c r="B3" s="303" t="s">
        <v>239</v>
      </c>
      <c r="C3" s="303" t="s">
        <v>240</v>
      </c>
      <c r="D3" s="304" t="s">
        <v>241</v>
      </c>
      <c r="E3" s="303"/>
      <c r="F3" s="303"/>
      <c r="G3" s="303" t="s">
        <v>197</v>
      </c>
      <c r="H3" s="303"/>
      <c r="I3" s="303" t="s">
        <v>198</v>
      </c>
    </row>
    <row r="4" spans="1:9" ht="18.75" x14ac:dyDescent="0.15">
      <c r="A4" s="303" t="s">
        <v>242</v>
      </c>
      <c r="B4" s="303" t="s">
        <v>239</v>
      </c>
      <c r="C4" s="303" t="s">
        <v>240</v>
      </c>
      <c r="D4" s="304" t="s">
        <v>241</v>
      </c>
      <c r="E4" s="303" t="s">
        <v>310</v>
      </c>
      <c r="F4" s="303"/>
      <c r="G4" s="303" t="s">
        <v>199</v>
      </c>
      <c r="H4" s="303"/>
      <c r="I4" s="303" t="s">
        <v>200</v>
      </c>
    </row>
    <row r="5" spans="1:9" ht="18.75" x14ac:dyDescent="0.15">
      <c r="A5" s="303" t="s">
        <v>245</v>
      </c>
      <c r="B5" s="303" t="s">
        <v>233</v>
      </c>
      <c r="C5" s="303" t="s">
        <v>234</v>
      </c>
      <c r="D5" s="304" t="s">
        <v>235</v>
      </c>
      <c r="E5" s="303"/>
      <c r="F5" s="303"/>
      <c r="G5" s="303" t="s">
        <v>201</v>
      </c>
      <c r="H5" s="303"/>
      <c r="I5" s="303"/>
    </row>
    <row r="6" spans="1:9" ht="112.5" x14ac:dyDescent="0.15">
      <c r="A6" s="303" t="s">
        <v>258</v>
      </c>
      <c r="B6" s="303" t="s">
        <v>259</v>
      </c>
      <c r="C6" s="305" t="s">
        <v>261</v>
      </c>
      <c r="D6" s="304" t="s">
        <v>260</v>
      </c>
      <c r="E6" s="304" t="s">
        <v>258</v>
      </c>
      <c r="F6" s="303"/>
      <c r="G6" s="303"/>
      <c r="H6" s="303"/>
      <c r="I6" s="303"/>
    </row>
    <row r="7" spans="1:9" ht="18.75" x14ac:dyDescent="0.15">
      <c r="A7" s="303" t="s">
        <v>317</v>
      </c>
      <c r="B7" s="303" t="s">
        <v>318</v>
      </c>
      <c r="C7" s="303" t="s">
        <v>319</v>
      </c>
      <c r="D7" s="303" t="s">
        <v>322</v>
      </c>
      <c r="E7" s="303" t="s">
        <v>320</v>
      </c>
      <c r="F7" s="303"/>
      <c r="G7" s="303"/>
      <c r="H7" s="303"/>
      <c r="I7" s="303"/>
    </row>
    <row r="8" spans="1:9" ht="18.75" x14ac:dyDescent="0.15">
      <c r="A8" s="303" t="s">
        <v>330</v>
      </c>
      <c r="B8" s="303" t="s">
        <v>327</v>
      </c>
      <c r="C8" s="303" t="s">
        <v>1065</v>
      </c>
      <c r="D8" s="303" t="s">
        <v>329</v>
      </c>
      <c r="E8" s="303" t="s">
        <v>330</v>
      </c>
      <c r="F8" s="303"/>
      <c r="G8" s="303"/>
      <c r="H8" s="303"/>
      <c r="I8" s="303"/>
    </row>
    <row r="9" spans="1:9" ht="18.75" x14ac:dyDescent="0.15">
      <c r="A9" s="303" t="s">
        <v>335</v>
      </c>
      <c r="B9" s="303" t="s">
        <v>1066</v>
      </c>
      <c r="C9" s="303" t="s">
        <v>1067</v>
      </c>
      <c r="D9" s="303" t="s">
        <v>342</v>
      </c>
      <c r="E9" s="303" t="s">
        <v>1068</v>
      </c>
      <c r="F9" s="303"/>
      <c r="G9" s="303"/>
      <c r="H9" s="303"/>
      <c r="I9" s="303"/>
    </row>
    <row r="10" spans="1:9" ht="18.75" x14ac:dyDescent="0.15">
      <c r="A10" s="303" t="s">
        <v>1069</v>
      </c>
      <c r="B10" s="303" t="s">
        <v>336</v>
      </c>
      <c r="C10" s="303" t="s">
        <v>1067</v>
      </c>
      <c r="D10" s="303" t="s">
        <v>337</v>
      </c>
      <c r="E10" s="303" t="s">
        <v>338</v>
      </c>
      <c r="F10" s="303"/>
      <c r="G10" s="303"/>
      <c r="H10" s="303"/>
      <c r="I10" s="303"/>
    </row>
    <row r="11" spans="1:9" ht="18.75" x14ac:dyDescent="0.15">
      <c r="A11" s="303" t="s">
        <v>354</v>
      </c>
      <c r="B11" s="303" t="s">
        <v>642</v>
      </c>
      <c r="C11" s="303" t="s">
        <v>1070</v>
      </c>
      <c r="D11" s="303" t="s">
        <v>1071</v>
      </c>
      <c r="E11" s="303" t="s">
        <v>1072</v>
      </c>
      <c r="F11" s="303"/>
      <c r="G11" s="303"/>
      <c r="H11" s="303"/>
      <c r="I11" s="303"/>
    </row>
    <row r="12" spans="1:9" ht="18.75" x14ac:dyDescent="0.15">
      <c r="A12" s="303" t="s">
        <v>1073</v>
      </c>
      <c r="B12" s="303" t="s">
        <v>362</v>
      </c>
      <c r="C12" s="303" t="s">
        <v>1074</v>
      </c>
      <c r="D12" s="303" t="s">
        <v>363</v>
      </c>
      <c r="E12" s="303" t="s">
        <v>364</v>
      </c>
      <c r="F12" s="303"/>
      <c r="G12" s="303"/>
      <c r="H12" s="303"/>
      <c r="I12" s="303"/>
    </row>
    <row r="13" spans="1:9" ht="18.75" x14ac:dyDescent="0.15">
      <c r="A13" s="303" t="s">
        <v>576</v>
      </c>
      <c r="B13" s="303" t="s">
        <v>361</v>
      </c>
      <c r="C13" s="303" t="s">
        <v>577</v>
      </c>
      <c r="D13" s="303" t="s">
        <v>578</v>
      </c>
      <c r="E13" s="303" t="s">
        <v>1075</v>
      </c>
      <c r="F13" s="303"/>
      <c r="G13" s="303"/>
      <c r="H13" s="303"/>
      <c r="I13" s="303"/>
    </row>
    <row r="14" spans="1:9" ht="18.75" x14ac:dyDescent="0.15">
      <c r="A14" s="303" t="s">
        <v>380</v>
      </c>
      <c r="B14" s="303" t="s">
        <v>381</v>
      </c>
      <c r="C14" s="303" t="s">
        <v>382</v>
      </c>
      <c r="D14" s="303" t="s">
        <v>382</v>
      </c>
      <c r="E14" s="303" t="s">
        <v>383</v>
      </c>
      <c r="F14" s="303"/>
      <c r="G14" s="303"/>
      <c r="H14" s="303"/>
      <c r="I14" s="303"/>
    </row>
    <row r="15" spans="1:9" ht="18.75" x14ac:dyDescent="0.15">
      <c r="A15" s="303" t="s">
        <v>591</v>
      </c>
      <c r="B15" s="303" t="s">
        <v>592</v>
      </c>
      <c r="C15" s="303" t="s">
        <v>593</v>
      </c>
      <c r="D15" s="303" t="s">
        <v>474</v>
      </c>
      <c r="E15" s="303" t="s">
        <v>594</v>
      </c>
      <c r="F15" s="303"/>
      <c r="G15" s="303"/>
      <c r="H15" s="303"/>
      <c r="I15" s="303"/>
    </row>
    <row r="16" spans="1:9" ht="18.75" x14ac:dyDescent="0.15">
      <c r="A16" s="303" t="s">
        <v>599</v>
      </c>
      <c r="B16" s="303" t="s">
        <v>842</v>
      </c>
      <c r="C16" s="303" t="s">
        <v>601</v>
      </c>
      <c r="D16" s="303" t="s">
        <v>474</v>
      </c>
      <c r="E16" s="303" t="s">
        <v>844</v>
      </c>
      <c r="F16" s="303"/>
      <c r="G16" s="303"/>
      <c r="H16" s="303"/>
      <c r="I16" s="303"/>
    </row>
    <row r="17" spans="1:9" ht="18.75" x14ac:dyDescent="0.15">
      <c r="A17" s="303" t="s">
        <v>841</v>
      </c>
      <c r="B17" s="303" t="s">
        <v>600</v>
      </c>
      <c r="C17" s="303" t="s">
        <v>1076</v>
      </c>
      <c r="D17" s="303" t="s">
        <v>602</v>
      </c>
      <c r="E17" s="303" t="s">
        <v>1077</v>
      </c>
      <c r="F17" s="303"/>
      <c r="G17" s="303"/>
      <c r="H17" s="303"/>
      <c r="I17" s="303"/>
    </row>
    <row r="18" spans="1:9" ht="18.75" x14ac:dyDescent="0.15">
      <c r="A18" s="303" t="s">
        <v>374</v>
      </c>
      <c r="B18" s="303" t="s">
        <v>361</v>
      </c>
      <c r="C18" s="303" t="s">
        <v>577</v>
      </c>
      <c r="D18" s="303" t="s">
        <v>578</v>
      </c>
      <c r="E18" s="303" t="s">
        <v>655</v>
      </c>
      <c r="F18" s="303"/>
      <c r="G18" s="303"/>
      <c r="H18" s="303"/>
      <c r="I18" s="303"/>
    </row>
    <row r="19" spans="1:9" ht="18.75" x14ac:dyDescent="0.15">
      <c r="A19" s="303" t="s">
        <v>323</v>
      </c>
      <c r="B19" s="303" t="s">
        <v>327</v>
      </c>
      <c r="C19" s="303" t="s">
        <v>328</v>
      </c>
      <c r="D19" s="303" t="s">
        <v>329</v>
      </c>
      <c r="E19" s="303" t="s">
        <v>820</v>
      </c>
      <c r="F19" s="303"/>
      <c r="G19" s="303"/>
      <c r="H19" s="303"/>
      <c r="I19" s="303"/>
    </row>
    <row r="20" spans="1:9" ht="18.75" x14ac:dyDescent="0.15">
      <c r="A20" s="303" t="s">
        <v>677</v>
      </c>
      <c r="B20" s="303" t="s">
        <v>297</v>
      </c>
      <c r="C20" s="303" t="s">
        <v>679</v>
      </c>
      <c r="D20" s="303" t="s">
        <v>902</v>
      </c>
      <c r="E20" s="303" t="s">
        <v>1078</v>
      </c>
      <c r="F20" s="303"/>
      <c r="G20" s="303"/>
      <c r="H20" s="303"/>
      <c r="I20" s="303"/>
    </row>
    <row r="21" spans="1:9" ht="18.75" x14ac:dyDescent="0.15">
      <c r="A21" s="303" t="s">
        <v>1079</v>
      </c>
      <c r="B21" s="303" t="s">
        <v>239</v>
      </c>
      <c r="C21" s="303" t="s">
        <v>240</v>
      </c>
      <c r="D21" s="303" t="s">
        <v>241</v>
      </c>
      <c r="E21" s="303" t="s">
        <v>244</v>
      </c>
      <c r="F21" s="303"/>
      <c r="G21" s="303"/>
      <c r="H21" s="303"/>
      <c r="I21" s="303"/>
    </row>
    <row r="22" spans="1:9" ht="18.75" x14ac:dyDescent="0.15">
      <c r="A22" s="303" t="s">
        <v>1080</v>
      </c>
      <c r="B22" s="303" t="s">
        <v>642</v>
      </c>
      <c r="C22" s="303" t="s">
        <v>643</v>
      </c>
      <c r="D22" s="303" t="s">
        <v>644</v>
      </c>
      <c r="E22" s="303" t="s">
        <v>645</v>
      </c>
      <c r="F22" s="303"/>
      <c r="G22" s="303"/>
      <c r="H22" s="303"/>
      <c r="I22" s="303"/>
    </row>
    <row r="23" spans="1:9" ht="18.75" x14ac:dyDescent="0.15">
      <c r="A23" s="303" t="s">
        <v>658</v>
      </c>
      <c r="B23" s="303" t="s">
        <v>661</v>
      </c>
      <c r="C23" s="303" t="s">
        <v>662</v>
      </c>
      <c r="D23" s="303" t="s">
        <v>663</v>
      </c>
      <c r="E23" s="303" t="s">
        <v>664</v>
      </c>
      <c r="F23" s="303"/>
      <c r="G23" s="303"/>
      <c r="H23" s="303"/>
      <c r="I23" s="303"/>
    </row>
    <row r="24" spans="1:9" ht="18.75" x14ac:dyDescent="0.15">
      <c r="A24" s="303" t="s">
        <v>1081</v>
      </c>
      <c r="B24" s="303" t="s">
        <v>327</v>
      </c>
      <c r="C24" s="303" t="s">
        <v>540</v>
      </c>
      <c r="D24" s="303" t="s">
        <v>329</v>
      </c>
      <c r="E24" s="303" t="s">
        <v>820</v>
      </c>
      <c r="F24" s="303"/>
      <c r="G24" s="303"/>
      <c r="H24" s="303"/>
      <c r="I24" s="303"/>
    </row>
    <row r="25" spans="1:9" ht="18.75" x14ac:dyDescent="0.15">
      <c r="A25" s="303" t="s">
        <v>649</v>
      </c>
      <c r="B25" s="303" t="s">
        <v>297</v>
      </c>
      <c r="C25" s="303" t="s">
        <v>1082</v>
      </c>
      <c r="D25" s="303" t="s">
        <v>602</v>
      </c>
      <c r="E25" s="303" t="s">
        <v>1083</v>
      </c>
      <c r="F25" s="303"/>
      <c r="G25" s="303"/>
      <c r="H25" s="303"/>
      <c r="I25" s="303"/>
    </row>
    <row r="26" spans="1:9" ht="18.75" x14ac:dyDescent="0.15">
      <c r="A26" s="303" t="s">
        <v>1084</v>
      </c>
      <c r="B26" s="303" t="s">
        <v>291</v>
      </c>
      <c r="C26" s="303" t="s">
        <v>687</v>
      </c>
      <c r="D26" s="303" t="s">
        <v>688</v>
      </c>
      <c r="E26" s="303" t="s">
        <v>689</v>
      </c>
      <c r="F26" s="303"/>
      <c r="G26" s="303"/>
      <c r="H26" s="303"/>
      <c r="I26" s="303"/>
    </row>
    <row r="27" spans="1:9" ht="18.75" x14ac:dyDescent="0.15">
      <c r="A27" s="303" t="s">
        <v>702</v>
      </c>
      <c r="B27" s="303" t="s">
        <v>1085</v>
      </c>
      <c r="C27" s="303" t="s">
        <v>1086</v>
      </c>
      <c r="D27" s="303" t="s">
        <v>1087</v>
      </c>
      <c r="E27" s="303" t="s">
        <v>702</v>
      </c>
      <c r="F27" s="303"/>
      <c r="G27" s="303"/>
      <c r="H27" s="303"/>
      <c r="I27" s="303"/>
    </row>
    <row r="28" spans="1:9" ht="18.75" x14ac:dyDescent="0.15">
      <c r="A28" s="303" t="s">
        <v>358</v>
      </c>
      <c r="B28" s="303" t="s">
        <v>362</v>
      </c>
      <c r="C28" s="303" t="s">
        <v>363</v>
      </c>
      <c r="D28" s="303" t="s">
        <v>363</v>
      </c>
      <c r="E28" s="303" t="s">
        <v>364</v>
      </c>
      <c r="F28" s="303"/>
      <c r="G28" s="303"/>
      <c r="H28" s="303"/>
      <c r="I28" s="303"/>
    </row>
    <row r="29" spans="1:9" ht="18.75" x14ac:dyDescent="0.15">
      <c r="A29" s="303" t="s">
        <v>1088</v>
      </c>
      <c r="B29" s="303" t="s">
        <v>1089</v>
      </c>
      <c r="C29" s="303" t="s">
        <v>1090</v>
      </c>
      <c r="D29" s="303" t="s">
        <v>1091</v>
      </c>
      <c r="E29" s="303" t="s">
        <v>1092</v>
      </c>
      <c r="F29" s="303"/>
      <c r="G29" s="303"/>
      <c r="H29" s="303"/>
      <c r="I29" s="303"/>
    </row>
    <row r="30" spans="1:9" ht="18.75" x14ac:dyDescent="0.15">
      <c r="A30" s="303" t="s">
        <v>1093</v>
      </c>
      <c r="B30" s="303" t="s">
        <v>741</v>
      </c>
      <c r="C30" s="303" t="s">
        <v>742</v>
      </c>
      <c r="D30" s="303" t="s">
        <v>743</v>
      </c>
      <c r="E30" s="303" t="s">
        <v>744</v>
      </c>
      <c r="F30" s="303"/>
      <c r="G30" s="303"/>
      <c r="H30" s="303"/>
      <c r="I30" s="303"/>
    </row>
    <row r="31" spans="1:9" ht="18.75" x14ac:dyDescent="0.15">
      <c r="A31" s="303" t="s">
        <v>1094</v>
      </c>
      <c r="B31" s="303" t="s">
        <v>751</v>
      </c>
      <c r="C31" s="303" t="s">
        <v>752</v>
      </c>
      <c r="D31" s="303" t="s">
        <v>753</v>
      </c>
      <c r="E31" s="303" t="s">
        <v>754</v>
      </c>
      <c r="F31" s="303"/>
      <c r="G31" s="303"/>
      <c r="H31" s="303"/>
      <c r="I31" s="303"/>
    </row>
    <row r="32" spans="1:9" ht="18.75" x14ac:dyDescent="0.15">
      <c r="A32" s="303" t="s">
        <v>856</v>
      </c>
      <c r="B32" s="303" t="s">
        <v>297</v>
      </c>
      <c r="C32" s="303" t="s">
        <v>1095</v>
      </c>
      <c r="D32" s="303" t="s">
        <v>602</v>
      </c>
      <c r="E32" s="303" t="s">
        <v>1096</v>
      </c>
      <c r="F32" s="303"/>
      <c r="G32" s="303"/>
      <c r="H32" s="303"/>
      <c r="I32" s="303"/>
    </row>
    <row r="33" spans="1:9" ht="18.75" x14ac:dyDescent="0.15">
      <c r="A33" s="303" t="s">
        <v>697</v>
      </c>
      <c r="B33" s="303"/>
      <c r="C33" s="303"/>
      <c r="D33" s="303" t="s">
        <v>698</v>
      </c>
      <c r="E33" s="303"/>
      <c r="F33" s="303"/>
      <c r="G33" s="303"/>
      <c r="H33" s="303"/>
      <c r="I33" s="303"/>
    </row>
    <row r="34" spans="1:9" ht="18.75" x14ac:dyDescent="0.15">
      <c r="A34" s="303" t="s">
        <v>769</v>
      </c>
      <c r="B34" s="303" t="s">
        <v>770</v>
      </c>
      <c r="C34" s="303" t="s">
        <v>771</v>
      </c>
      <c r="D34" s="303" t="s">
        <v>698</v>
      </c>
      <c r="E34" s="303" t="s">
        <v>772</v>
      </c>
      <c r="F34" s="303"/>
      <c r="G34" s="303"/>
      <c r="H34" s="303"/>
      <c r="I34" s="303"/>
    </row>
    <row r="35" spans="1:9" ht="18.75" x14ac:dyDescent="0.15">
      <c r="A35" s="303" t="s">
        <v>803</v>
      </c>
      <c r="B35" s="303" t="s">
        <v>804</v>
      </c>
      <c r="C35" s="303" t="s">
        <v>805</v>
      </c>
      <c r="D35" s="303"/>
      <c r="E35" s="303" t="s">
        <v>806</v>
      </c>
      <c r="F35" s="303"/>
      <c r="G35" s="303"/>
      <c r="H35" s="303"/>
      <c r="I35" s="303"/>
    </row>
    <row r="36" spans="1:9" ht="206.25" x14ac:dyDescent="0.15">
      <c r="A36" s="303" t="s">
        <v>1097</v>
      </c>
      <c r="B36" s="303" t="s">
        <v>797</v>
      </c>
      <c r="C36" s="305" t="s">
        <v>798</v>
      </c>
      <c r="D36" s="303"/>
      <c r="E36" s="303" t="s">
        <v>799</v>
      </c>
      <c r="F36" s="303"/>
      <c r="G36" s="303"/>
      <c r="H36" s="303"/>
      <c r="I36" s="303"/>
    </row>
    <row r="37" spans="1:9" ht="18.75" x14ac:dyDescent="0.15">
      <c r="A37" s="303" t="s">
        <v>648</v>
      </c>
      <c r="B37" s="303"/>
      <c r="C37" s="303"/>
      <c r="D37" s="303"/>
      <c r="E37" s="303" t="s">
        <v>824</v>
      </c>
      <c r="F37" s="303"/>
      <c r="G37" s="303"/>
      <c r="H37" s="303"/>
      <c r="I37" s="303"/>
    </row>
    <row r="38" spans="1:9" ht="18.75" x14ac:dyDescent="0.15">
      <c r="A38" s="303" t="s">
        <v>810</v>
      </c>
      <c r="B38" s="303" t="s">
        <v>811</v>
      </c>
      <c r="C38" s="303" t="s">
        <v>812</v>
      </c>
      <c r="D38" s="303" t="s">
        <v>813</v>
      </c>
      <c r="E38" s="303" t="s">
        <v>814</v>
      </c>
      <c r="F38" s="303"/>
      <c r="G38" s="303"/>
      <c r="H38" s="303"/>
      <c r="I38" s="303"/>
    </row>
    <row r="39" spans="1:9" ht="206.25" x14ac:dyDescent="0.15">
      <c r="A39" s="303" t="s">
        <v>863</v>
      </c>
      <c r="B39" s="303" t="s">
        <v>864</v>
      </c>
      <c r="C39" s="305" t="s">
        <v>865</v>
      </c>
      <c r="D39" s="303" t="s">
        <v>866</v>
      </c>
      <c r="E39" s="303" t="s">
        <v>867</v>
      </c>
      <c r="F39" s="303"/>
      <c r="G39" s="303"/>
      <c r="H39" s="303"/>
      <c r="I39" s="303"/>
    </row>
    <row r="40" spans="1:9" ht="18.75" x14ac:dyDescent="0.15">
      <c r="A40" s="303" t="s">
        <v>1098</v>
      </c>
      <c r="B40" s="303"/>
      <c r="C40" s="303"/>
      <c r="D40" s="303" t="s">
        <v>1099</v>
      </c>
      <c r="E40" s="303" t="s">
        <v>1098</v>
      </c>
      <c r="F40" s="303"/>
      <c r="G40" s="303"/>
      <c r="H40" s="303"/>
      <c r="I40" s="303"/>
    </row>
    <row r="41" spans="1:9" ht="18.75" x14ac:dyDescent="0.15">
      <c r="A41" s="303" t="s">
        <v>582</v>
      </c>
      <c r="B41" s="303" t="s">
        <v>583</v>
      </c>
      <c r="C41" s="303" t="s">
        <v>584</v>
      </c>
      <c r="D41" s="303" t="s">
        <v>585</v>
      </c>
      <c r="E41" s="303" t="s">
        <v>586</v>
      </c>
      <c r="F41" s="303"/>
      <c r="G41" s="303"/>
      <c r="H41" s="303"/>
      <c r="I41" s="303"/>
    </row>
    <row r="42" spans="1:9" ht="18.75" x14ac:dyDescent="0.15">
      <c r="A42" s="303" t="s">
        <v>921</v>
      </c>
      <c r="B42" s="303" t="s">
        <v>922</v>
      </c>
      <c r="C42" s="303" t="s">
        <v>923</v>
      </c>
      <c r="D42" s="303" t="s">
        <v>924</v>
      </c>
      <c r="E42" s="303" t="s">
        <v>925</v>
      </c>
      <c r="F42" s="303"/>
      <c r="G42" s="303"/>
      <c r="H42" s="303"/>
      <c r="I42" s="303"/>
    </row>
    <row r="43" spans="1:9" ht="18.75" x14ac:dyDescent="0.15">
      <c r="A43" s="303" t="s">
        <v>967</v>
      </c>
      <c r="B43" s="303"/>
      <c r="C43" s="303"/>
      <c r="D43" s="303" t="s">
        <v>967</v>
      </c>
      <c r="E43" s="303" t="s">
        <v>967</v>
      </c>
      <c r="F43" s="303"/>
      <c r="G43" s="303"/>
      <c r="H43" s="303"/>
      <c r="I43" s="303"/>
    </row>
    <row r="44" spans="1:9" ht="18.75" x14ac:dyDescent="0.15">
      <c r="A44" s="303" t="s">
        <v>412</v>
      </c>
      <c r="B44" s="303" t="s">
        <v>413</v>
      </c>
      <c r="C44" s="303" t="s">
        <v>414</v>
      </c>
      <c r="D44" s="303" t="s">
        <v>970</v>
      </c>
      <c r="E44" s="303" t="s">
        <v>411</v>
      </c>
      <c r="F44" s="303"/>
      <c r="G44" s="303"/>
      <c r="H44" s="303"/>
      <c r="I44" s="303"/>
    </row>
    <row r="45" spans="1:9" ht="18.75" x14ac:dyDescent="0.15">
      <c r="A45" s="303" t="s">
        <v>974</v>
      </c>
      <c r="B45" s="303" t="s">
        <v>1100</v>
      </c>
      <c r="C45" s="303" t="s">
        <v>1101</v>
      </c>
      <c r="D45" s="303"/>
      <c r="E45" s="303" t="s">
        <v>1102</v>
      </c>
      <c r="F45" s="303"/>
      <c r="G45" s="303"/>
      <c r="H45" s="303"/>
      <c r="I45" s="303"/>
    </row>
    <row r="46" spans="1:9" ht="18.75" x14ac:dyDescent="0.15">
      <c r="A46" s="303" t="s">
        <v>1057</v>
      </c>
      <c r="B46" s="303">
        <v>1111</v>
      </c>
      <c r="C46" s="303">
        <v>111111</v>
      </c>
      <c r="D46" s="303"/>
      <c r="E46" s="303"/>
      <c r="F46" s="303"/>
      <c r="G46" s="303"/>
      <c r="H46" s="303"/>
      <c r="I46" s="303"/>
    </row>
    <row r="47" spans="1:9" ht="18.75" x14ac:dyDescent="0.15">
      <c r="A47" s="303" t="s">
        <v>1060</v>
      </c>
      <c r="B47" s="303"/>
      <c r="C47" s="303" t="s">
        <v>1060</v>
      </c>
      <c r="D47" s="303"/>
      <c r="E47" s="303"/>
      <c r="F47" s="303"/>
      <c r="G47" s="303"/>
      <c r="H47" s="303"/>
      <c r="I47" s="303"/>
    </row>
    <row r="48" spans="1:9" ht="18.75" x14ac:dyDescent="0.15">
      <c r="A48" s="303" t="s">
        <v>1004</v>
      </c>
      <c r="B48" s="303" t="s">
        <v>1005</v>
      </c>
      <c r="C48" s="303" t="s">
        <v>1006</v>
      </c>
      <c r="D48" s="303" t="s">
        <v>474</v>
      </c>
      <c r="E48" s="303" t="s">
        <v>1007</v>
      </c>
      <c r="F48" s="303"/>
      <c r="G48" s="303"/>
      <c r="H48" s="303"/>
      <c r="I48" s="303"/>
    </row>
    <row r="49" spans="1:9" ht="18.75" x14ac:dyDescent="0.15">
      <c r="A49" s="303" t="s">
        <v>1012</v>
      </c>
      <c r="B49" s="303" t="s">
        <v>1013</v>
      </c>
      <c r="C49" s="303" t="s">
        <v>1014</v>
      </c>
      <c r="D49" s="303" t="s">
        <v>474</v>
      </c>
      <c r="E49" s="303" t="s">
        <v>814</v>
      </c>
      <c r="F49" s="303"/>
      <c r="G49" s="303"/>
      <c r="H49" s="303"/>
      <c r="I49" s="303"/>
    </row>
    <row r="50" spans="1:9" ht="18.75" x14ac:dyDescent="0.15">
      <c r="A50" s="303" t="s">
        <v>1103</v>
      </c>
      <c r="B50" s="303" t="s">
        <v>670</v>
      </c>
      <c r="C50" s="303" t="s">
        <v>671</v>
      </c>
      <c r="D50" s="303" t="s">
        <v>672</v>
      </c>
      <c r="E50" s="303" t="s">
        <v>673</v>
      </c>
      <c r="F50" s="303"/>
      <c r="G50" s="303"/>
      <c r="H50" s="303"/>
      <c r="I50" s="303"/>
    </row>
    <row r="51" spans="1:9" ht="18.75" x14ac:dyDescent="0.15">
      <c r="A51" s="303" t="s">
        <v>1132</v>
      </c>
      <c r="B51" s="303" t="s">
        <v>239</v>
      </c>
      <c r="C51" s="303" t="s">
        <v>240</v>
      </c>
      <c r="D51" s="303"/>
      <c r="E51" s="303"/>
      <c r="F51" s="303"/>
      <c r="G51" s="303"/>
      <c r="H51" s="303"/>
      <c r="I51" s="303"/>
    </row>
    <row r="52" spans="1:9" ht="18.75" x14ac:dyDescent="0.15">
      <c r="A52" s="303" t="s">
        <v>1112</v>
      </c>
      <c r="B52" s="303" t="s">
        <v>1113</v>
      </c>
      <c r="C52" s="303" t="s">
        <v>1114</v>
      </c>
      <c r="D52" s="303" t="s">
        <v>1115</v>
      </c>
      <c r="E52" s="303" t="s">
        <v>1116</v>
      </c>
      <c r="F52" s="303"/>
      <c r="G52" s="303"/>
      <c r="H52" s="303"/>
      <c r="I52" s="303"/>
    </row>
    <row r="53" spans="1:9" ht="18.75" x14ac:dyDescent="0.15">
      <c r="A53" s="303"/>
      <c r="B53" s="303"/>
      <c r="C53" s="303"/>
      <c r="D53" s="303"/>
      <c r="E53" s="303"/>
      <c r="F53" s="303"/>
      <c r="G53" s="303"/>
      <c r="H53" s="303"/>
      <c r="I53" s="303"/>
    </row>
    <row r="54" spans="1:9" ht="18.75" x14ac:dyDescent="0.15">
      <c r="A54" s="303"/>
      <c r="B54" s="303"/>
      <c r="C54" s="303"/>
      <c r="D54" s="303"/>
      <c r="E54" s="303"/>
      <c r="F54" s="303"/>
      <c r="G54" s="303"/>
      <c r="H54" s="303"/>
      <c r="I54" s="303"/>
    </row>
    <row r="55" spans="1:9" ht="18.75" x14ac:dyDescent="0.15">
      <c r="A55" s="303"/>
      <c r="B55" s="303"/>
      <c r="C55" s="303"/>
      <c r="D55" s="303"/>
      <c r="E55" s="303"/>
      <c r="F55" s="303"/>
      <c r="G55" s="303"/>
      <c r="H55" s="303"/>
      <c r="I55" s="303"/>
    </row>
    <row r="56" spans="1:9" ht="18.75" x14ac:dyDescent="0.15">
      <c r="A56" s="303"/>
      <c r="B56" s="303"/>
      <c r="C56" s="303"/>
      <c r="D56" s="303"/>
      <c r="E56" s="303"/>
      <c r="F56" s="303"/>
      <c r="G56" s="303"/>
      <c r="H56" s="303"/>
      <c r="I56" s="303"/>
    </row>
    <row r="57" spans="1:9" ht="18.75" x14ac:dyDescent="0.15">
      <c r="A57" s="303"/>
      <c r="B57" s="303"/>
      <c r="C57" s="303"/>
      <c r="D57" s="303"/>
      <c r="E57" s="303"/>
      <c r="F57" s="303"/>
      <c r="G57" s="303"/>
      <c r="H57" s="303"/>
      <c r="I57" s="303"/>
    </row>
    <row r="58" spans="1:9" ht="18.75" x14ac:dyDescent="0.15">
      <c r="A58" s="303"/>
      <c r="B58" s="303"/>
      <c r="C58" s="303"/>
      <c r="D58" s="303"/>
      <c r="E58" s="303"/>
      <c r="F58" s="303"/>
      <c r="G58" s="303"/>
      <c r="H58" s="303"/>
      <c r="I58" s="303"/>
    </row>
    <row r="59" spans="1:9" ht="18.75" x14ac:dyDescent="0.15">
      <c r="A59" s="303"/>
      <c r="B59" s="303"/>
      <c r="C59" s="303"/>
      <c r="D59" s="303"/>
      <c r="E59" s="303"/>
      <c r="F59" s="303"/>
      <c r="G59" s="303"/>
      <c r="H59" s="303"/>
      <c r="I59" s="303"/>
    </row>
    <row r="60" spans="1:9" ht="18.75" x14ac:dyDescent="0.15">
      <c r="A60" s="303"/>
      <c r="B60" s="303"/>
      <c r="C60" s="303"/>
      <c r="D60" s="303"/>
      <c r="E60" s="303"/>
      <c r="F60" s="303"/>
      <c r="G60" s="303"/>
      <c r="H60" s="303"/>
      <c r="I60" s="303"/>
    </row>
    <row r="61" spans="1:9" ht="18.75" x14ac:dyDescent="0.15">
      <c r="A61" s="303"/>
      <c r="B61" s="303"/>
      <c r="C61" s="303"/>
      <c r="D61" s="303"/>
      <c r="E61" s="303"/>
      <c r="F61" s="303"/>
      <c r="G61" s="303"/>
      <c r="H61" s="303"/>
      <c r="I61" s="303"/>
    </row>
    <row r="62" spans="1:9" ht="18.75" x14ac:dyDescent="0.15">
      <c r="A62" s="303"/>
      <c r="B62" s="303"/>
      <c r="C62" s="303"/>
      <c r="D62" s="303"/>
      <c r="E62" s="303"/>
      <c r="F62" s="303"/>
      <c r="G62" s="303"/>
      <c r="H62" s="303"/>
      <c r="I62" s="303"/>
    </row>
    <row r="63" spans="1:9" ht="18.75" x14ac:dyDescent="0.15">
      <c r="A63" s="303"/>
      <c r="B63" s="303"/>
      <c r="C63" s="303"/>
      <c r="D63" s="303"/>
      <c r="E63" s="303"/>
      <c r="F63" s="303"/>
      <c r="G63" s="303"/>
      <c r="H63" s="303"/>
      <c r="I63" s="303"/>
    </row>
    <row r="64" spans="1:9" ht="18.75" x14ac:dyDescent="0.15">
      <c r="A64" s="303"/>
      <c r="B64" s="303"/>
      <c r="C64" s="303"/>
      <c r="D64" s="303"/>
      <c r="E64" s="303"/>
      <c r="F64" s="303"/>
      <c r="G64" s="303"/>
      <c r="H64" s="303"/>
      <c r="I64" s="303"/>
    </row>
    <row r="65" spans="1:9" ht="18.75" x14ac:dyDescent="0.15">
      <c r="A65" s="303"/>
      <c r="B65" s="303"/>
      <c r="C65" s="303"/>
      <c r="D65" s="303"/>
      <c r="E65" s="303"/>
      <c r="F65" s="303"/>
      <c r="G65" s="303"/>
      <c r="H65" s="303"/>
      <c r="I65" s="303"/>
    </row>
    <row r="66" spans="1:9" ht="18.75" x14ac:dyDescent="0.15">
      <c r="A66" s="303"/>
      <c r="B66" s="303"/>
      <c r="C66" s="303"/>
      <c r="D66" s="303"/>
      <c r="E66" s="303"/>
      <c r="F66" s="303"/>
      <c r="G66" s="303"/>
      <c r="H66" s="303"/>
      <c r="I66" s="303"/>
    </row>
    <row r="67" spans="1:9" ht="18.75" x14ac:dyDescent="0.15">
      <c r="A67" s="303"/>
      <c r="B67" s="303"/>
      <c r="C67" s="303"/>
      <c r="D67" s="303"/>
      <c r="E67" s="303"/>
      <c r="F67" s="303"/>
      <c r="G67" s="303"/>
      <c r="H67" s="303"/>
      <c r="I67" s="303"/>
    </row>
    <row r="68" spans="1:9" ht="18.75" x14ac:dyDescent="0.15">
      <c r="A68" s="303"/>
      <c r="B68" s="303"/>
      <c r="C68" s="303"/>
      <c r="D68" s="303"/>
      <c r="E68" s="303"/>
      <c r="F68" s="303"/>
      <c r="G68" s="303"/>
      <c r="H68" s="303"/>
      <c r="I68" s="303"/>
    </row>
    <row r="69" spans="1:9" ht="18.75" x14ac:dyDescent="0.15">
      <c r="A69" s="303"/>
      <c r="B69" s="303"/>
      <c r="C69" s="303"/>
      <c r="D69" s="303"/>
      <c r="E69" s="303"/>
      <c r="F69" s="303"/>
      <c r="G69" s="303"/>
      <c r="H69" s="303"/>
      <c r="I69" s="303"/>
    </row>
    <row r="70" spans="1:9" ht="18.75" x14ac:dyDescent="0.15">
      <c r="A70" s="303"/>
      <c r="B70" s="303"/>
      <c r="C70" s="303"/>
      <c r="D70" s="303"/>
      <c r="E70" s="303"/>
      <c r="F70" s="303"/>
      <c r="G70" s="303"/>
      <c r="H70" s="303"/>
      <c r="I70" s="303"/>
    </row>
    <row r="71" spans="1:9" ht="18.75" x14ac:dyDescent="0.15">
      <c r="A71" s="303"/>
      <c r="B71" s="303"/>
      <c r="C71" s="303"/>
      <c r="D71" s="303"/>
      <c r="E71" s="303"/>
      <c r="F71" s="303"/>
      <c r="G71" s="303"/>
      <c r="H71" s="303"/>
      <c r="I71" s="303"/>
    </row>
    <row r="72" spans="1:9" ht="18.75" x14ac:dyDescent="0.15">
      <c r="A72" s="303"/>
      <c r="B72" s="303"/>
      <c r="C72" s="303"/>
      <c r="D72" s="303"/>
      <c r="E72" s="303"/>
      <c r="F72" s="303"/>
      <c r="G72" s="303"/>
      <c r="H72" s="303"/>
      <c r="I72" s="303"/>
    </row>
    <row r="73" spans="1:9" ht="18.75" x14ac:dyDescent="0.15">
      <c r="A73" s="303"/>
      <c r="B73" s="303"/>
      <c r="C73" s="303"/>
      <c r="D73" s="303"/>
      <c r="E73" s="303"/>
      <c r="F73" s="303"/>
      <c r="G73" s="303"/>
      <c r="H73" s="303"/>
      <c r="I73" s="303"/>
    </row>
    <row r="74" spans="1:9" ht="18.75" x14ac:dyDescent="0.15">
      <c r="A74" s="303"/>
      <c r="B74" s="303"/>
      <c r="C74" s="303"/>
      <c r="D74" s="303"/>
      <c r="E74" s="303"/>
      <c r="F74" s="303"/>
      <c r="G74" s="303"/>
      <c r="H74" s="303"/>
      <c r="I74" s="303"/>
    </row>
    <row r="75" spans="1:9" ht="18.75" x14ac:dyDescent="0.15">
      <c r="A75" s="303"/>
      <c r="B75" s="303"/>
      <c r="C75" s="303"/>
      <c r="D75" s="303"/>
      <c r="E75" s="303"/>
      <c r="F75" s="303"/>
      <c r="G75" s="303"/>
      <c r="H75" s="303"/>
      <c r="I75" s="303"/>
    </row>
    <row r="76" spans="1:9" ht="18.75" x14ac:dyDescent="0.15">
      <c r="A76" s="303"/>
      <c r="B76" s="303"/>
      <c r="C76" s="303"/>
      <c r="D76" s="303"/>
      <c r="E76" s="303"/>
      <c r="F76" s="303"/>
      <c r="G76" s="303"/>
      <c r="H76" s="303"/>
      <c r="I76" s="303"/>
    </row>
    <row r="77" spans="1:9" ht="18.75" x14ac:dyDescent="0.15">
      <c r="A77" s="303"/>
      <c r="B77" s="303"/>
      <c r="C77" s="303"/>
      <c r="D77" s="303"/>
      <c r="E77" s="303"/>
      <c r="F77" s="303"/>
      <c r="G77" s="303"/>
      <c r="H77" s="303"/>
      <c r="I77" s="303"/>
    </row>
    <row r="78" spans="1:9" ht="18.75" x14ac:dyDescent="0.15">
      <c r="A78" s="303"/>
      <c r="B78" s="303"/>
      <c r="C78" s="303"/>
      <c r="D78" s="303"/>
      <c r="E78" s="303"/>
      <c r="F78" s="303"/>
      <c r="G78" s="303"/>
      <c r="H78" s="303"/>
      <c r="I78" s="303"/>
    </row>
    <row r="79" spans="1:9" ht="18.75" x14ac:dyDescent="0.15">
      <c r="A79" s="303"/>
      <c r="B79" s="303"/>
      <c r="C79" s="303"/>
      <c r="D79" s="303"/>
      <c r="E79" s="303"/>
      <c r="F79" s="303"/>
      <c r="G79" s="303"/>
      <c r="H79" s="303"/>
      <c r="I79" s="303"/>
    </row>
    <row r="80" spans="1:9" ht="18.75" x14ac:dyDescent="0.15">
      <c r="A80" s="303"/>
      <c r="B80" s="303"/>
      <c r="C80" s="303"/>
      <c r="D80" s="303"/>
      <c r="E80" s="303"/>
      <c r="F80" s="303"/>
      <c r="G80" s="303"/>
      <c r="H80" s="303"/>
      <c r="I80" s="303"/>
    </row>
    <row r="81" spans="1:9" ht="18.75" x14ac:dyDescent="0.15">
      <c r="A81" s="303"/>
      <c r="B81" s="303"/>
      <c r="C81" s="303"/>
      <c r="D81" s="303"/>
      <c r="E81" s="303"/>
      <c r="F81" s="303"/>
      <c r="G81" s="303"/>
      <c r="H81" s="303"/>
      <c r="I81" s="303"/>
    </row>
    <row r="82" spans="1:9" ht="18.75" x14ac:dyDescent="0.15">
      <c r="A82" s="303"/>
      <c r="B82" s="303"/>
      <c r="C82" s="303"/>
      <c r="D82" s="303"/>
      <c r="E82" s="303"/>
      <c r="F82" s="303"/>
      <c r="G82" s="303"/>
      <c r="H82" s="303"/>
      <c r="I82" s="303"/>
    </row>
    <row r="83" spans="1:9" ht="18.75" x14ac:dyDescent="0.15">
      <c r="A83" s="303"/>
      <c r="B83" s="303"/>
      <c r="C83" s="303"/>
      <c r="D83" s="303"/>
      <c r="E83" s="303"/>
      <c r="F83" s="303"/>
      <c r="G83" s="303"/>
      <c r="H83" s="303"/>
      <c r="I83" s="303"/>
    </row>
  </sheetData>
  <phoneticPr fontId="3"/>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4440A-30C3-44EC-B54B-E2E7F16959E0}">
  <sheetPr codeName="Sheet12"/>
  <dimension ref="A1:C54"/>
  <sheetViews>
    <sheetView workbookViewId="0"/>
  </sheetViews>
  <sheetFormatPr defaultRowHeight="12" x14ac:dyDescent="0.15"/>
  <sheetData>
    <row r="1" spans="1:3" ht="18.75" x14ac:dyDescent="0.4">
      <c r="A1" s="337" t="s">
        <v>526</v>
      </c>
      <c r="B1" s="338"/>
      <c r="C1" s="338"/>
    </row>
    <row r="2" spans="1:3" ht="18.75" x14ac:dyDescent="0.4">
      <c r="A2" s="339" t="s">
        <v>527</v>
      </c>
      <c r="B2" s="338"/>
      <c r="C2" s="338"/>
    </row>
    <row r="3" spans="1:3" ht="18.75" x14ac:dyDescent="0.4">
      <c r="A3" s="28"/>
      <c r="B3" s="28"/>
      <c r="C3" s="28"/>
    </row>
    <row r="4" spans="1:3" ht="18.75" x14ac:dyDescent="0.4">
      <c r="A4" s="340" t="s">
        <v>417</v>
      </c>
      <c r="B4" s="338"/>
      <c r="C4" s="338"/>
    </row>
    <row r="5" spans="1:3" x14ac:dyDescent="0.15">
      <c r="A5" s="22" t="s">
        <v>418</v>
      </c>
      <c r="B5" s="22" t="s">
        <v>419</v>
      </c>
      <c r="C5" s="22" t="s">
        <v>420</v>
      </c>
    </row>
    <row r="6" spans="1:3" x14ac:dyDescent="0.15">
      <c r="A6" s="22" t="s">
        <v>418</v>
      </c>
      <c r="B6" s="22" t="s">
        <v>421</v>
      </c>
      <c r="C6" s="22" t="s">
        <v>422</v>
      </c>
    </row>
    <row r="7" spans="1:3" x14ac:dyDescent="0.15">
      <c r="A7" s="22" t="s">
        <v>418</v>
      </c>
      <c r="B7" s="22" t="s">
        <v>148</v>
      </c>
      <c r="C7" s="22" t="s">
        <v>423</v>
      </c>
    </row>
    <row r="8" spans="1:3" ht="18.75" x14ac:dyDescent="0.4">
      <c r="A8" s="28"/>
      <c r="B8" s="28"/>
      <c r="C8" s="28"/>
    </row>
    <row r="9" spans="1:3" ht="14.25" x14ac:dyDescent="0.15">
      <c r="A9" s="23" t="s">
        <v>424</v>
      </c>
      <c r="B9" s="23" t="s">
        <v>425</v>
      </c>
      <c r="C9" s="23" t="s">
        <v>426</v>
      </c>
    </row>
    <row r="10" spans="1:3" ht="13.5" x14ac:dyDescent="0.15">
      <c r="A10" s="51" t="s">
        <v>427</v>
      </c>
      <c r="B10" s="51"/>
      <c r="C10" s="51" t="s">
        <v>428</v>
      </c>
    </row>
    <row r="11" spans="1:3" ht="108" x14ac:dyDescent="0.15">
      <c r="A11" s="24" t="s">
        <v>429</v>
      </c>
      <c r="B11" s="25" t="s">
        <v>1144</v>
      </c>
      <c r="C11" s="26" t="s">
        <v>431</v>
      </c>
    </row>
    <row r="12" spans="1:3" ht="84" x14ac:dyDescent="0.15">
      <c r="A12" s="24" t="s">
        <v>432</v>
      </c>
      <c r="B12" s="25" t="s">
        <v>1134</v>
      </c>
      <c r="C12" s="26" t="s">
        <v>433</v>
      </c>
    </row>
    <row r="13" spans="1:3" ht="84" x14ac:dyDescent="0.15">
      <c r="A13" s="24" t="s">
        <v>434</v>
      </c>
      <c r="B13" s="25" t="s">
        <v>435</v>
      </c>
      <c r="C13" s="26" t="s">
        <v>436</v>
      </c>
    </row>
    <row r="14" spans="1:3" ht="84" x14ac:dyDescent="0.15">
      <c r="A14" s="24" t="s">
        <v>437</v>
      </c>
      <c r="B14" s="25" t="s">
        <v>1105</v>
      </c>
      <c r="C14" s="26" t="s">
        <v>438</v>
      </c>
    </row>
    <row r="15" spans="1:3" ht="72" x14ac:dyDescent="0.15">
      <c r="A15" s="24" t="s">
        <v>439</v>
      </c>
      <c r="B15" s="25" t="s">
        <v>1145</v>
      </c>
      <c r="C15" s="26" t="s">
        <v>440</v>
      </c>
    </row>
    <row r="16" spans="1:3" ht="13.5" x14ac:dyDescent="0.15">
      <c r="A16" s="24" t="s">
        <v>441</v>
      </c>
      <c r="B16" s="25" t="s">
        <v>1146</v>
      </c>
      <c r="C16" s="26"/>
    </row>
    <row r="17" spans="1:3" ht="36" x14ac:dyDescent="0.15">
      <c r="A17" s="24" t="s">
        <v>443</v>
      </c>
      <c r="B17" s="25" t="s">
        <v>1147</v>
      </c>
      <c r="C17" s="26" t="s">
        <v>445</v>
      </c>
    </row>
    <row r="18" spans="1:3" ht="84" x14ac:dyDescent="0.15">
      <c r="A18" s="24" t="s">
        <v>446</v>
      </c>
      <c r="B18" s="25" t="s">
        <v>1149</v>
      </c>
      <c r="C18" s="26" t="s">
        <v>448</v>
      </c>
    </row>
    <row r="19" spans="1:3" ht="84" x14ac:dyDescent="0.15">
      <c r="A19" s="24" t="s">
        <v>449</v>
      </c>
      <c r="B19" s="25" t="s">
        <v>1148</v>
      </c>
      <c r="C19" s="26" t="s">
        <v>451</v>
      </c>
    </row>
    <row r="20" spans="1:3" ht="13.5" x14ac:dyDescent="0.15">
      <c r="A20" s="51" t="s">
        <v>452</v>
      </c>
      <c r="B20" s="51"/>
      <c r="C20" s="51" t="s">
        <v>453</v>
      </c>
    </row>
    <row r="21" spans="1:3" ht="36" x14ac:dyDescent="0.15">
      <c r="A21" s="24" t="s">
        <v>454</v>
      </c>
      <c r="B21" s="25" t="s">
        <v>1150</v>
      </c>
      <c r="C21" s="26" t="s">
        <v>456</v>
      </c>
    </row>
    <row r="22" spans="1:3" ht="36" x14ac:dyDescent="0.15">
      <c r="A22" s="24" t="s">
        <v>457</v>
      </c>
      <c r="B22" s="25" t="s">
        <v>1151</v>
      </c>
      <c r="C22" s="26" t="s">
        <v>459</v>
      </c>
    </row>
    <row r="23" spans="1:3" ht="13.5" x14ac:dyDescent="0.15">
      <c r="A23" s="24" t="s">
        <v>460</v>
      </c>
      <c r="B23" s="25" t="s">
        <v>1152</v>
      </c>
      <c r="C23" s="26" t="s">
        <v>462</v>
      </c>
    </row>
    <row r="24" spans="1:3" ht="36" x14ac:dyDescent="0.15">
      <c r="A24" s="24" t="s">
        <v>463</v>
      </c>
      <c r="B24" s="25" t="s">
        <v>1153</v>
      </c>
      <c r="C24" s="26" t="s">
        <v>465</v>
      </c>
    </row>
    <row r="25" spans="1:3" ht="13.5" x14ac:dyDescent="0.15">
      <c r="A25" s="51" t="s">
        <v>466</v>
      </c>
      <c r="B25" s="51"/>
      <c r="C25" s="51" t="s">
        <v>467</v>
      </c>
    </row>
    <row r="26" spans="1:3" ht="84" x14ac:dyDescent="0.15">
      <c r="A26" s="24" t="s">
        <v>468</v>
      </c>
      <c r="B26" s="25">
        <v>20</v>
      </c>
      <c r="C26" s="26" t="s">
        <v>469</v>
      </c>
    </row>
    <row r="27" spans="1:3" ht="60" x14ac:dyDescent="0.15">
      <c r="A27" s="24" t="s">
        <v>470</v>
      </c>
      <c r="B27" s="25" t="s">
        <v>421</v>
      </c>
      <c r="C27" s="26" t="s">
        <v>471</v>
      </c>
    </row>
    <row r="28" spans="1:3" ht="13.5" x14ac:dyDescent="0.15">
      <c r="A28" s="24" t="s">
        <v>472</v>
      </c>
      <c r="B28" s="25" t="s">
        <v>1106</v>
      </c>
      <c r="C28" s="26" t="s">
        <v>474</v>
      </c>
    </row>
    <row r="29" spans="1:3" ht="13.5" x14ac:dyDescent="0.15">
      <c r="A29" s="24" t="s">
        <v>475</v>
      </c>
      <c r="B29" s="25" t="s">
        <v>476</v>
      </c>
      <c r="C29" s="26" t="s">
        <v>474</v>
      </c>
    </row>
    <row r="30" spans="1:3" ht="13.5" x14ac:dyDescent="0.15">
      <c r="A30" s="24" t="s">
        <v>477</v>
      </c>
      <c r="B30" s="25" t="s">
        <v>1107</v>
      </c>
      <c r="C30" s="26" t="s">
        <v>474</v>
      </c>
    </row>
    <row r="31" spans="1:3" ht="13.5" x14ac:dyDescent="0.15">
      <c r="A31" s="24" t="s">
        <v>479</v>
      </c>
      <c r="B31" s="25" t="s">
        <v>1108</v>
      </c>
      <c r="C31" s="26" t="s">
        <v>474</v>
      </c>
    </row>
    <row r="32" spans="1:3" ht="13.5" x14ac:dyDescent="0.15">
      <c r="A32" s="51" t="s">
        <v>481</v>
      </c>
      <c r="B32" s="51"/>
      <c r="C32" s="51" t="s">
        <v>482</v>
      </c>
    </row>
    <row r="33" spans="1:3" ht="84" x14ac:dyDescent="0.15">
      <c r="A33" s="24" t="s">
        <v>483</v>
      </c>
      <c r="B33" s="25" t="s">
        <v>1108</v>
      </c>
      <c r="C33" s="26" t="s">
        <v>484</v>
      </c>
    </row>
    <row r="34" spans="1:3" ht="72" x14ac:dyDescent="0.15">
      <c r="A34" s="24" t="s">
        <v>485</v>
      </c>
      <c r="B34" s="25" t="s">
        <v>1108</v>
      </c>
      <c r="C34" s="26" t="s">
        <v>486</v>
      </c>
    </row>
    <row r="35" spans="1:3" ht="13.5" x14ac:dyDescent="0.15">
      <c r="A35" s="51" t="s">
        <v>487</v>
      </c>
      <c r="B35" s="51"/>
      <c r="C35" s="51" t="s">
        <v>488</v>
      </c>
    </row>
    <row r="36" spans="1:3" ht="60" x14ac:dyDescent="0.15">
      <c r="A36" s="24" t="s">
        <v>489</v>
      </c>
      <c r="B36" s="25" t="s">
        <v>1109</v>
      </c>
      <c r="C36" s="26" t="s">
        <v>491</v>
      </c>
    </row>
    <row r="37" spans="1:3" ht="48" x14ac:dyDescent="0.15">
      <c r="A37" s="24" t="s">
        <v>492</v>
      </c>
      <c r="B37" s="25" t="s">
        <v>1110</v>
      </c>
      <c r="C37" s="26" t="s">
        <v>494</v>
      </c>
    </row>
    <row r="38" spans="1:3" ht="48" x14ac:dyDescent="0.15">
      <c r="A38" s="24" t="s">
        <v>495</v>
      </c>
      <c r="B38" s="25" t="s">
        <v>1110</v>
      </c>
      <c r="C38" s="26" t="s">
        <v>497</v>
      </c>
    </row>
    <row r="39" spans="1:3" ht="48" x14ac:dyDescent="0.15">
      <c r="A39" s="24" t="s">
        <v>498</v>
      </c>
      <c r="B39" s="25" t="s">
        <v>1110</v>
      </c>
      <c r="C39" s="26" t="s">
        <v>500</v>
      </c>
    </row>
    <row r="40" spans="1:3" ht="36" x14ac:dyDescent="0.15">
      <c r="A40" s="24" t="s">
        <v>501</v>
      </c>
      <c r="B40" s="25" t="s">
        <v>1111</v>
      </c>
      <c r="C40" s="26" t="s">
        <v>503</v>
      </c>
    </row>
    <row r="41" spans="1:3" ht="18.75" x14ac:dyDescent="0.4">
      <c r="A41" s="28"/>
      <c r="B41" s="28"/>
      <c r="C41" s="28"/>
    </row>
    <row r="42" spans="1:3" ht="18.75" x14ac:dyDescent="0.4">
      <c r="A42" s="326" t="s">
        <v>504</v>
      </c>
      <c r="B42" s="320"/>
      <c r="C42" s="320"/>
    </row>
    <row r="43" spans="1:3" ht="60" x14ac:dyDescent="0.4">
      <c r="A43" s="52" t="s">
        <v>505</v>
      </c>
      <c r="B43" s="321" t="s">
        <v>506</v>
      </c>
      <c r="C43" s="320"/>
    </row>
    <row r="44" spans="1:3" ht="60" x14ac:dyDescent="0.4">
      <c r="A44" s="52" t="s">
        <v>507</v>
      </c>
      <c r="B44" s="321" t="s">
        <v>508</v>
      </c>
      <c r="C44" s="320"/>
    </row>
    <row r="45" spans="1:3" ht="48" x14ac:dyDescent="0.4">
      <c r="A45" s="52" t="s">
        <v>509</v>
      </c>
      <c r="B45" s="321" t="s">
        <v>510</v>
      </c>
      <c r="C45" s="320"/>
    </row>
    <row r="46" spans="1:3" ht="72" x14ac:dyDescent="0.4">
      <c r="A46" s="52" t="s">
        <v>511</v>
      </c>
      <c r="B46" s="321" t="s">
        <v>512</v>
      </c>
      <c r="C46" s="320"/>
    </row>
    <row r="47" spans="1:3" ht="48" x14ac:dyDescent="0.4">
      <c r="A47" s="52" t="s">
        <v>513</v>
      </c>
      <c r="B47" s="321" t="s">
        <v>514</v>
      </c>
      <c r="C47" s="320"/>
    </row>
    <row r="48" spans="1:3" ht="36" x14ac:dyDescent="0.4">
      <c r="A48" s="52" t="s">
        <v>515</v>
      </c>
      <c r="B48" s="321" t="s">
        <v>516</v>
      </c>
      <c r="C48" s="320"/>
    </row>
    <row r="49" spans="1:3" ht="18.75" x14ac:dyDescent="0.4">
      <c r="A49" s="28"/>
      <c r="B49" s="28"/>
      <c r="C49" s="28"/>
    </row>
    <row r="50" spans="1:3" ht="18.75" x14ac:dyDescent="0.4">
      <c r="A50" s="322" t="s">
        <v>517</v>
      </c>
      <c r="B50" s="320"/>
      <c r="C50" s="320"/>
    </row>
    <row r="51" spans="1:3" ht="48" x14ac:dyDescent="0.4">
      <c r="A51" s="27" t="s">
        <v>518</v>
      </c>
      <c r="B51" s="319" t="s">
        <v>519</v>
      </c>
      <c r="C51" s="320"/>
    </row>
    <row r="52" spans="1:3" ht="60" x14ac:dyDescent="0.4">
      <c r="A52" s="27" t="s">
        <v>520</v>
      </c>
      <c r="B52" s="319" t="s">
        <v>521</v>
      </c>
      <c r="C52" s="320"/>
    </row>
    <row r="53" spans="1:3" ht="36" x14ac:dyDescent="0.4">
      <c r="A53" s="27" t="s">
        <v>522</v>
      </c>
      <c r="B53" s="319" t="s">
        <v>523</v>
      </c>
      <c r="C53" s="320"/>
    </row>
    <row r="54" spans="1:3" ht="24" x14ac:dyDescent="0.4">
      <c r="A54" s="27" t="s">
        <v>524</v>
      </c>
      <c r="B54" s="319" t="s">
        <v>525</v>
      </c>
      <c r="C54" s="320"/>
    </row>
  </sheetData>
  <mergeCells count="15">
    <mergeCell ref="B45:C45"/>
    <mergeCell ref="A1:C1"/>
    <mergeCell ref="A2:C2"/>
    <mergeCell ref="A4:C4"/>
    <mergeCell ref="B44:C44"/>
    <mergeCell ref="A42:C42"/>
    <mergeCell ref="B43:C43"/>
    <mergeCell ref="B53:C53"/>
    <mergeCell ref="B54:C54"/>
    <mergeCell ref="B46:C46"/>
    <mergeCell ref="B47:C47"/>
    <mergeCell ref="B48:C48"/>
    <mergeCell ref="B52:C52"/>
    <mergeCell ref="A50:C50"/>
    <mergeCell ref="B51:C51"/>
  </mergeCells>
  <phoneticPr fontId="3"/>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de44e6d-c2e1-49cb-b409-03b38000405c"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7494E745458552408F0B01556A2C0E9B" ma:contentTypeVersion="11" ma:contentTypeDescription="新しいドキュメントを作成します。" ma:contentTypeScope="" ma:versionID="28e6ef6fc85f34d262576ce2a49d5410">
  <xsd:schema xmlns:xsd="http://www.w3.org/2001/XMLSchema" xmlns:xs="http://www.w3.org/2001/XMLSchema" xmlns:p="http://schemas.microsoft.com/office/2006/metadata/properties" xmlns:ns3="3de44e6d-c2e1-49cb-b409-03b38000405c" targetNamespace="http://schemas.microsoft.com/office/2006/metadata/properties" ma:root="true" ma:fieldsID="d11ff2acbd840edc1cbd56c681017758" ns3:_="">
    <xsd:import namespace="3de44e6d-c2e1-49cb-b409-03b38000405c"/>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GenerationTime" minOccurs="0"/>
                <xsd:element ref="ns3:MediaServiceEventHashCode"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e44e6d-c2e1-49cb-b409-03b38000405c"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Location" ma:index="1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9A9206A-2ABD-4183-BD2A-27F1E86E11E5}">
  <ds:schemaRefs>
    <ds:schemaRef ds:uri="http://purl.org/dc/terms/"/>
    <ds:schemaRef ds:uri="http://schemas.microsoft.com/office/2006/documentManagement/types"/>
    <ds:schemaRef ds:uri="http://schemas.microsoft.com/office/2006/metadata/properties"/>
    <ds:schemaRef ds:uri="http://purl.org/dc/dcmitype/"/>
    <ds:schemaRef ds:uri="http://www.w3.org/XML/1998/namespace"/>
    <ds:schemaRef ds:uri="http://purl.org/dc/elements/1.1/"/>
    <ds:schemaRef ds:uri="http://schemas.microsoft.com/office/infopath/2007/PartnerControls"/>
    <ds:schemaRef ds:uri="http://schemas.openxmlformats.org/package/2006/metadata/core-properties"/>
    <ds:schemaRef ds:uri="3de44e6d-c2e1-49cb-b409-03b38000405c"/>
  </ds:schemaRefs>
</ds:datastoreItem>
</file>

<file path=customXml/itemProps2.xml><?xml version="1.0" encoding="utf-8"?>
<ds:datastoreItem xmlns:ds="http://schemas.openxmlformats.org/officeDocument/2006/customXml" ds:itemID="{6B38B68B-8598-4EC8-BCA6-4FD5114F93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e44e6d-c2e1-49cb-b409-03b38000405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D302FFB-2D82-4626-9DCE-AA6B23906B6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vt:i4>
      </vt:variant>
    </vt:vector>
  </HeadingPairs>
  <TitlesOfParts>
    <vt:vector size="12" baseType="lpstr">
      <vt:lpstr>操作</vt:lpstr>
      <vt:lpstr>工事番号一覧</vt:lpstr>
      <vt:lpstr>依頼履歴</vt:lpstr>
      <vt:lpstr>依頼書セル設定</vt:lpstr>
      <vt:lpstr>依頼書セル設定【元データ】-1</vt:lpstr>
      <vt:lpstr>2025.6～個人番号</vt:lpstr>
      <vt:lpstr>2025.6～採番ルール</vt:lpstr>
      <vt:lpstr>管理マスタ</vt:lpstr>
      <vt:lpstr>その他マスタ</vt:lpstr>
      <vt:lpstr>'2025.6～個人番号'!Print_Area</vt:lpstr>
      <vt:lpstr>'2025.6～採番ルール'!Print_Area</vt:lpstr>
      <vt:lpstr>工事番号一覧!Print_Area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西川 絵里</dc:creator>
  <cp:lastModifiedBy>西川 絵里</cp:lastModifiedBy>
  <cp:lastPrinted>2026-05-18T02:14:05Z</cp:lastPrinted>
  <dcterms:created xsi:type="dcterms:W3CDTF">2025-07-07T06:03:34Z</dcterms:created>
  <dcterms:modified xsi:type="dcterms:W3CDTF">2026-05-18T06:06:15Z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0x0101007494E745458552408F0B01556A2C0E9B</vt:lpwstr>
  </property>
</Properties>
</file>